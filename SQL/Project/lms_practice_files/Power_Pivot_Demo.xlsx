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Sales" sheetId="2" r:id="rId6"/>
    <sheet state="visible" name="Customer" sheetId="3" r:id="rId7"/>
    <sheet state="visible" name="Product" sheetId="4" r:id="rId8"/>
    <sheet state="visible" name="Concept_Overview" sheetId="5" r:id="rId9"/>
    <sheet state="visible" name="DAX_Formulas" sheetId="6" r:id="rId10"/>
    <sheet state="visible" name="Pivot_Table" sheetId="7" r:id="rId11"/>
  </sheets>
  <definedNames/>
  <calcPr/>
</workbook>
</file>

<file path=xl/sharedStrings.xml><?xml version="1.0" encoding="utf-8"?>
<sst xmlns="http://schemas.openxmlformats.org/spreadsheetml/2006/main" count="292" uniqueCount="244">
  <si>
    <t>Power_Pivot_Demo.xlsx  |  Trainer Demo File</t>
  </si>
  <si>
    <t>Anudip Foundation — Power Pivot in Excel | Use during live demo with learners</t>
  </si>
  <si>
    <t>PURPOSE OF THIS FILE</t>
  </si>
  <si>
    <t>File type</t>
  </si>
  <si>
    <t>DEMO file — used by the TRAINER during live demonstration. Data is CLEAN with no quality issues.</t>
  </si>
  <si>
    <t>Practice file</t>
  </si>
  <si>
    <t>A separate Practice file (Power_Pivot_Practice.xlsx) has intentional data quality issues for learner exercises.</t>
  </si>
  <si>
    <t>Session use</t>
  </si>
  <si>
    <t>Open this file at session start. Project it on screen. Walk through each module using this file.</t>
  </si>
  <si>
    <t>SHEET MAP</t>
  </si>
  <si>
    <t>Sheet</t>
  </si>
  <si>
    <t>Contents &amp; Trainer Action</t>
  </si>
  <si>
    <t>Instructions</t>
  </si>
  <si>
    <t>This sheet — read before session. Colour legend and sheet map.</t>
  </si>
  <si>
    <t>Sales</t>
  </si>
  <si>
    <t>FACT TABLE — 10 sales transactions. Show this to explain what a Fact table looks like.</t>
  </si>
  <si>
    <t>Customer</t>
  </si>
  <si>
    <t>DIMENSION TABLE — 5 customers with clean Region values. Show relationships to Sales via CustomerID.</t>
  </si>
  <si>
    <t>Product</t>
  </si>
  <si>
    <t>DIMENSION TABLE — 3 products with UnitPrice. Show relationships to Sales via ProductID.</t>
  </si>
  <si>
    <t>Concept_Overview</t>
  </si>
  <si>
    <t>Visual summary of Star Schema, Fact/Dimension roles, and Relationship direction. Project this for conceptual discussion.</t>
  </si>
  <si>
    <t>DAX_Formulas</t>
  </si>
  <si>
    <t>Pre-written DAX formula examples with explanations. Show during Module 5 demo.</t>
  </si>
  <si>
    <t>Pivot_Table</t>
  </si>
  <si>
    <t>Pre-built PivotTable from Data Model showing Total Sales and Avg Sales by Region. Show as the END GOAL at session start.</t>
  </si>
  <si>
    <t>COLOUR LEGEND</t>
  </si>
  <si>
    <t>Blue header row</t>
  </si>
  <si>
    <t>Fact Table header (Sales — transactions, large, has Foreign Keys)</t>
  </si>
  <si>
    <t>Green header row</t>
  </si>
  <si>
    <t>Dimension Table header (Customer, Product — descriptive, small, has Primary Keys)</t>
  </si>
  <si>
    <t>Purple column header</t>
  </si>
  <si>
    <t>Primary Key column — must be unique, no blanks</t>
  </si>
  <si>
    <t>Orange column header</t>
  </si>
  <si>
    <t>Foreign Key column — can repeat; matches PK in Dimension table</t>
  </si>
  <si>
    <t>Yellow cell</t>
  </si>
  <si>
    <t>Instruction or label — read before acting</t>
  </si>
  <si>
    <t>Teal cell</t>
  </si>
  <si>
    <t>DAX formula code — type exactly as shown in Power Pivot window</t>
  </si>
  <si>
    <t>Green cell</t>
  </si>
  <si>
    <t>Exercise answer area (in Practice file)</t>
  </si>
  <si>
    <t>TRAINER ACTION: Before the session, enable Power Pivot (File &gt; Options &gt; Add-ins &gt; COM Add-ins &gt; Microsoft Power Pivot for Excel). Then load all three tables (Sales, Customer, Product) into the Data Model via: click inside each table &gt; Power Pivot tab &gt; Add to Data Model.</t>
  </si>
  <si>
    <t>Sales  |  FACT TABLE  |  Demo Data — Clean Version</t>
  </si>
  <si>
    <t>Each row = one transaction. Contains Foreign Keys (CustomerID, ProductID) that link to Dimension tables.</t>
  </si>
  <si>
    <t>TABLE ROLE: FACT TABLE — stores WHAT HAPPENED (transactions, events, measurements)</t>
  </si>
  <si>
    <t>TRAINER: Point out — large table (grows with every sale), contains numbers to SUM/COUNT, has CustomerID and ProductID that MATCH the Primary Keys in the Dimension tables.</t>
  </si>
  <si>
    <t>OrderID</t>
  </si>
  <si>
    <t>Date</t>
  </si>
  <si>
    <t>CustomerID</t>
  </si>
  <si>
    <t>ProductID</t>
  </si>
  <si>
    <t>Quantity</t>
  </si>
  <si>
    <t>SalesAmount</t>
  </si>
  <si>
    <t>HOW TO DEMO THIS TABLE</t>
  </si>
  <si>
    <t>Primary Key of this Fact table</t>
  </si>
  <si>
    <t>Transaction date</t>
  </si>
  <si>
    <t>Foreign Key → links to Customer[CustomerID]</t>
  </si>
  <si>
    <t>Foreign Key → links to Product[ProductID]</t>
  </si>
  <si>
    <t>Measurable fact — how many units</t>
  </si>
  <si>
    <t>Measurable fact — revenue in ₹</t>
  </si>
  <si>
    <t>TRAINER INSTRUCTIONS (column H)</t>
  </si>
  <si>
    <t>C001</t>
  </si>
  <si>
    <t>P001</t>
  </si>
  <si>
    <t>C002</t>
  </si>
  <si>
    <t>P002</t>
  </si>
  <si>
    <t>Step 1: Show learners this is the FACT table — each row is ONE sale transaction.</t>
  </si>
  <si>
    <t>C003</t>
  </si>
  <si>
    <t>P003</t>
  </si>
  <si>
    <t>Step 2: Point to CustomerID column (orange) — this is a FOREIGN KEY. C001 appears multiple times (rows 1 and 4).</t>
  </si>
  <si>
    <t>Step 3: Point to ProductID column (orange) — another FOREIGN KEY. P001 appears in multiple rows.</t>
  </si>
  <si>
    <t>C004</t>
  </si>
  <si>
    <t>Step 4: Ask: 'Where is the customer name? It is NOT here.' That information lives in the Customer table.</t>
  </si>
  <si>
    <t>Step 5: Ask: 'Where is the product name? Also NOT here.' It lives in the Product table.</t>
  </si>
  <si>
    <t>C005</t>
  </si>
  <si>
    <t>Step 6: Explain: instead of copying customer/product info here (VLOOKUP approach), we create a RELATIONSHIP.</t>
  </si>
  <si>
    <t>Step 7: Load this table to Data Model: click any cell &gt; Power Pivot tab &gt; Add to Data Model.</t>
  </si>
  <si>
    <t>KEY POINT: The orange-highlighted CustomerID and ProductID columns are FOREIGN KEYS. They match Primary Keys in the Customer and Product tables. Power Pivot uses them to create relationships.</t>
  </si>
  <si>
    <t>Customer  |  DIMENSION TABLE  |  Demo Data — Clean Version</t>
  </si>
  <si>
    <t>Each row = one unique customer. Contains Primary Key (CustomerID) — unique, no duplicates.</t>
  </si>
  <si>
    <t>TABLE ROLE: DIMENSION TABLE — explains WHO made the purchase (descriptive, contextual data)</t>
  </si>
  <si>
    <t>TRAINER: Point out — small table (5 rows for 5 customers), each CustomerID appears EXACTLY ONCE (Primary Key), contains Region used to group/filter analysis in PivotTable.</t>
  </si>
  <si>
    <t>Name</t>
  </si>
  <si>
    <t>Region</t>
  </si>
  <si>
    <t>PRIMARY KEY — unique per customer, no duplicates, no blanks</t>
  </si>
  <si>
    <t>Customer name — descriptive dimension data</t>
  </si>
  <si>
    <t>Category for grouping — used in PivotTable Rows/Filters</t>
  </si>
  <si>
    <t>Step 1: Show — this is a DIMENSION table. Each CustomerID appears EXACTLY ONCE.</t>
  </si>
  <si>
    <t>Anita</t>
  </si>
  <si>
    <t>East</t>
  </si>
  <si>
    <t>Step 2: Purple CustomerID column = PRIMARY KEY. Must be unique, no blanks.</t>
  </si>
  <si>
    <t>Rajesh</t>
  </si>
  <si>
    <t>West</t>
  </si>
  <si>
    <t>Step 3: Region column — this is descriptive data used to GROUP analysis.</t>
  </si>
  <si>
    <t>Priya</t>
  </si>
  <si>
    <t>North</t>
  </si>
  <si>
    <t>Step 4: Ask: 'Notice C001 (Anita) is in East. In the Sales table, C001 appears in rows 1 and 4.'</t>
  </si>
  <si>
    <t>Sunil</t>
  </si>
  <si>
    <t>South</t>
  </si>
  <si>
    <t>Step 5: The RELATIONSHIP connects these: for every Sales row with C001, Power Pivot knows to look up Anita in East.</t>
  </si>
  <si>
    <t>Meera</t>
  </si>
  <si>
    <t>Step 6: This is what replaces VLOOKUP — no formula needed, just a relationship.</t>
  </si>
  <si>
    <t>Step 7: Load: click any cell &gt; Power Pivot tab &gt; Add to Data Model.</t>
  </si>
  <si>
    <t>KEY POINT: CustomerID is the PRIMARY KEY — C001 to C005, each exactly once. In the Sales table, C001 repeats because Anita placed 2 orders. This is the one-to-many relationship.</t>
  </si>
  <si>
    <t>Product  |  DIMENSION TABLE  |  Demo Data — Clean Version</t>
  </si>
  <si>
    <t>Each row = one unique product. Contains Primary Key (ProductID) and UnitPrice used in DAX calculations.</t>
  </si>
  <si>
    <t>TABLE ROLE: DIMENSION TABLE — describes WHAT was sold (product details)</t>
  </si>
  <si>
    <t>TRAINER: UnitPrice in this table is used in the RELATED() DAX formula to calculate TotalCost per order row. Demonstrate: RELATED(Product[UnitPrice]) fetches the price for each Sales row via the relationship.</t>
  </si>
  <si>
    <t>Category</t>
  </si>
  <si>
    <t>UnitPrice</t>
  </si>
  <si>
    <t>HOW TO DEMO</t>
  </si>
  <si>
    <t>PRIMARY KEY — unique per product</t>
  </si>
  <si>
    <t>Product category — used to filter/group in PivotTable</t>
  </si>
  <si>
    <t>Used in DAX calculated column via RELATED()</t>
  </si>
  <si>
    <t>Step 1: Three products — P001 Laptop ₹100, P002 Phone ₹150, P003 Tablet ₹150.</t>
  </si>
  <si>
    <t>Laptop</t>
  </si>
  <si>
    <t>Step 2: ProductID = PRIMARY KEY. Each product appears exactly once.</t>
  </si>
  <si>
    <t>Phone</t>
  </si>
  <si>
    <t>Step 3: UnitPrice will be used in DAX: Sales[Quantity] * RELATED(Product[UnitPrice]).</t>
  </si>
  <si>
    <t>Tablet</t>
  </si>
  <si>
    <t>Step 4: RELATED() only works because Sales[ProductID] is related to Product[ProductID].</t>
  </si>
  <si>
    <t>Step 5: Load to Data Model, then create relationship in Diagram View.</t>
  </si>
  <si>
    <t>Concept Overview  |  Star Schema, Fact &amp; Dimension Tables, Relationships</t>
  </si>
  <si>
    <t>PROJECT THIS SHEET during conceptual discussion. No editing required.</t>
  </si>
  <si>
    <t>STAR SCHEMA — OUR DEMO MODEL</t>
  </si>
  <si>
    <t>DIMENSION
Customer
CustomerID (PK)
Name
Region</t>
  </si>
  <si>
    <t>CustomerID
←————→</t>
  </si>
  <si>
    <t>FACT
Sales
OrderID
Date
CustomerID (FK)
ProductID (FK)
Quantity
SalesAmount</t>
  </si>
  <si>
    <t>DIMENSION
Product
ProductID (PK)
Category
UnitPrice</t>
  </si>
  <si>
    <t>ProductID ————————→</t>
  </si>
  <si>
    <t>KEY PRINCIPLES</t>
  </si>
  <si>
    <t>Concept</t>
  </si>
  <si>
    <t>Definition</t>
  </si>
  <si>
    <t>Characteristic</t>
  </si>
  <si>
    <t>Example</t>
  </si>
  <si>
    <t>FACT TABLE</t>
  </si>
  <si>
    <t>Stores WHAT HAPPENED</t>
  </si>
  <si>
    <t>Large — grows with every transaction</t>
  </si>
  <si>
    <t>Contains Foreign Keys (FK)</t>
  </si>
  <si>
    <t>DIMENSION TABLE</t>
  </si>
  <si>
    <t>Stores WHO / WHAT / WHERE</t>
  </si>
  <si>
    <t>Small — grows with new entities</t>
  </si>
  <si>
    <t>Contains Primary Key (PK) — unique</t>
  </si>
  <si>
    <t>PRIMARY KEY (PK)</t>
  </si>
  <si>
    <t>Unique per row, no duplicates</t>
  </si>
  <si>
    <t>Lives in Dimension table</t>
  </si>
  <si>
    <t>CustomerID in Customer — C001 once</t>
  </si>
  <si>
    <t>FOREIGN KEY (FK)</t>
  </si>
  <si>
    <t>Matches PK in another table</t>
  </si>
  <si>
    <t>Lives in Fact table — can repeat</t>
  </si>
  <si>
    <t>CustomerID in Sales — C001 many times</t>
  </si>
  <si>
    <t>RELATIONSHIP</t>
  </si>
  <si>
    <t>Logical connection via shared column</t>
  </si>
  <si>
    <t>One-to-Many direction</t>
  </si>
  <si>
    <t>One customer → many sales orders</t>
  </si>
  <si>
    <t>STAR SCHEMA</t>
  </si>
  <si>
    <t>Fact at centre, Dimensions around</t>
  </si>
  <si>
    <t>Standard Power Pivot structure</t>
  </si>
  <si>
    <t>Sales + Customer + Product + Date</t>
  </si>
  <si>
    <t>POWER PIVOT WORKFLOW</t>
  </si>
  <si>
    <t>Step</t>
  </si>
  <si>
    <t>Tool</t>
  </si>
  <si>
    <t>Task</t>
  </si>
  <si>
    <t>How to Access</t>
  </si>
  <si>
    <t>STEP 1</t>
  </si>
  <si>
    <t>Power Query</t>
  </si>
  <si>
    <t>Clean &amp; standardise data. Fix blanks, duplicates, inconsistent labels.</t>
  </si>
  <si>
    <t>Data tab &gt; Get &amp; Transform</t>
  </si>
  <si>
    <t>STEP 2</t>
  </si>
  <si>
    <t>Power Pivot</t>
  </si>
  <si>
    <t>Load tables to Data Model. Create relationships in Diagram View.</t>
  </si>
  <si>
    <t>Power Pivot tab &gt; Add to Data Model</t>
  </si>
  <si>
    <t>STEP 3</t>
  </si>
  <si>
    <t>DAX</t>
  </si>
  <si>
    <t>Write Calculated Columns (row-level) and Measures (aggregations).</t>
  </si>
  <si>
    <t>Power Pivot window &gt; Data View / Measure Grid</t>
  </si>
  <si>
    <t>STEP 4</t>
  </si>
  <si>
    <t>PivotTable</t>
  </si>
  <si>
    <t>Insert PivotTable from Data Model. Use fields from multiple tables.</t>
  </si>
  <si>
    <t>Insert &gt; PivotTable &gt; Use this workbook's Data Model</t>
  </si>
  <si>
    <t>DAX Formula Reference  |  Type These in Power Pivot Window</t>
  </si>
  <si>
    <t>All formulas reference the Demo file tables (Sales, Customer, Product). Measures use := syntax.</t>
  </si>
  <si>
    <t>IMPORTANT: DAX formulas must be typed in the POWER PIVOT WINDOW (not in Excel cells). Measures go in the Measure Grid (below the data rows). Calculated Columns go in the Add Column area.</t>
  </si>
  <si>
    <t>MEASURES — create in Measure Grid (grey area below data in Power Pivot Data View)</t>
  </si>
  <si>
    <t>Measure Name</t>
  </si>
  <si>
    <t>DAX Formula</t>
  </si>
  <si>
    <t>What It Does</t>
  </si>
  <si>
    <t>Where to Create</t>
  </si>
  <si>
    <t>Total Sales</t>
  </si>
  <si>
    <t>Total Sales:=SUM(Sales[SalesAmount])</t>
  </si>
  <si>
    <t>Sums all SalesAmount values. Automatically adjusts to PivotTable filter context.</t>
  </si>
  <si>
    <t>Sales table &gt; Measure Grid</t>
  </si>
  <si>
    <t>Avg Order Value</t>
  </si>
  <si>
    <t>Avg Order Value:=AVERAGE(Sales[SalesAmount])</t>
  </si>
  <si>
    <t>Average SalesAmount per transaction. Changes with each PivotTable filter.</t>
  </si>
  <si>
    <t>Order Count</t>
  </si>
  <si>
    <t>Order Count:=COUNT(Sales[OrderID])</t>
  </si>
  <si>
    <t>Counts number of transactions. Shows count for each filter context.</t>
  </si>
  <si>
    <t>Total Quantity</t>
  </si>
  <si>
    <t>Total Quantity:=SUM(Sales[Quantity])</t>
  </si>
  <si>
    <t>Total units sold. Adjusts to Region, Product, or Date filters.</t>
  </si>
  <si>
    <t>East Region Sales</t>
  </si>
  <si>
    <t>East Sales:=CALCULATE(
    SUM(Sales[SalesAmount]),
    Customer[Region]="East")</t>
  </si>
  <si>
    <t>Always shows East sales regardless of PivotTable filter. CALCULATE overrides context.</t>
  </si>
  <si>
    <t>CALCULATED COLUMNS — create in Data View by clicking 'Add Column' in the Sales table</t>
  </si>
  <si>
    <t>Column Name</t>
  </si>
  <si>
    <t>Requirement</t>
  </si>
  <si>
    <t>TotalCost</t>
  </si>
  <si>
    <t>Multiplies Quantity (in Sales) by UnitPrice (in Product). Creates a cost value for each row.</t>
  </si>
  <si>
    <t>Relationship: Sales[ProductID] → Product[ProductID] must exist first</t>
  </si>
  <si>
    <t>RevenueCategory</t>
  </si>
  <si>
    <t>Labels each order as High (&gt;300) or Standard. Row-level flag.</t>
  </si>
  <si>
    <t>No relationship needed — uses Sales columns only</t>
  </si>
  <si>
    <t>KEY DIFFERENCE: Measures use MeasureName:= syntax (colon before =). Calculated Columns use = syntax only. Measures go in Measure Grid. Columns go in Add Column area.</t>
  </si>
  <si>
    <t>DAX vs EXCEL FORMULA COMPARISON</t>
  </si>
  <si>
    <t>Excel Formula</t>
  </si>
  <si>
    <t>DAX Equivalent</t>
  </si>
  <si>
    <t>Key Difference</t>
  </si>
  <si>
    <t>Sum a column</t>
  </si>
  <si>
    <t>DAX uses Table[Column] not cell range</t>
  </si>
  <si>
    <t>Conditional sum</t>
  </si>
  <si>
    <t>East Sales:=CALCULATE(SUM(Sales[SalesAmount]),Customer[Region]="East")</t>
  </si>
  <si>
    <t>DAX uses CALCULATE to modify context</t>
  </si>
  <si>
    <t>Cross-table value</t>
  </si>
  <si>
    <t>DAX follows relationships automatically</t>
  </si>
  <si>
    <t>Count rows</t>
  </si>
  <si>
    <t>Same concept, column syntax</t>
  </si>
  <si>
    <t>Pivot Table Result  |  Built from Data Model (3 Related Tables)</t>
  </si>
  <si>
    <t>SHOW THIS AT SESSION START as the 'end goal'. This is what Power Pivot enables.</t>
  </si>
  <si>
    <t>TRAINER: Show this sheet FIRST at the start of the session. Say: 'This PivotTable draws from Sales, Customer, AND Product tables simultaneously — no VLOOKUP needed.' Then build back to show HOW this result is achieved.</t>
  </si>
  <si>
    <t>PIVOTTABLE 1: Total Sales and Average Sales by Region</t>
  </si>
  <si>
    <t>Fields used: Customer[Region] in Rows | Total Sales Measure + Avg Sales Measure in Values | Data from 2 related tables.</t>
  </si>
  <si>
    <t>Total Sales (₹)</t>
  </si>
  <si>
    <t>Avg Sales per Order (₹)</t>
  </si>
  <si>
    <t>HOW TO RECREATE THIS PIVOTTABLE</t>
  </si>
  <si>
    <t>1. Insert tab &gt; PivotTable &gt; select 'Use this workbook's Data Model' &gt; New Worksheet &gt; OK.</t>
  </si>
  <si>
    <t>2. In Field List: expand 'Customer' table &gt; drag 'Region' to Rows.</t>
  </si>
  <si>
    <t>3. In Field List: find 'Total Sales' measure (under Sales table) &gt; drag to Values.</t>
  </si>
  <si>
    <t>4. Right-click value &gt; Value Field Settings &gt; Number Format &gt; Currency.</t>
  </si>
  <si>
    <t>Grand Total</t>
  </si>
  <si>
    <t>5. For cross-table PivotTable: also drag Product[Category] to Columns.</t>
  </si>
  <si>
    <t>6. The PivotTable combines data from Sales, Customer, and Product tables automatically.</t>
  </si>
  <si>
    <t>PIVOTTABLE 2: Sales by Region and Product Category (2D Cross-Table)</t>
  </si>
  <si>
    <t>7. Add a Slicer: PivotTable Analyze &gt; Insert Slicer &gt; Region &gt; click to filter both tables live.</t>
  </si>
  <si>
    <t>Fields: Customer[Region] in Rows | Product[Category] in Columns | Total Sales in Values. Fields from 3 DIFFERENT tables in one PivotTable.</t>
  </si>
  <si>
    <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</si>
</sst>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m\-yyyy"/>
  </numFmts>
  <fonts count="25">
    <font>
      <sz val="11.0"/>
      <color theme="1"/>
      <name val="Calibri"/>
      <scheme val="minor"/>
    </font>
    <font>
      <b/>
      <sz val="14.0"/>
      <color rgb="FFFFFFFF"/>
      <name val="Arial"/>
    </font>
    <font/>
    <font>
      <b/>
      <sz val="10.0"/>
      <color rgb="FFFFFFFF"/>
      <name val="Arial"/>
    </font>
    <font>
      <b/>
      <sz val="10.0"/>
      <color rgb="FF92400E"/>
      <name val="Arial"/>
    </font>
    <font>
      <sz val="10.0"/>
      <color rgb="FF000000"/>
      <name val="Arial"/>
    </font>
    <font>
      <sz val="10.0"/>
      <color rgb="FFFFFFFF"/>
      <name val="Arial"/>
    </font>
    <font>
      <sz val="10.0"/>
      <color rgb="FF92400E"/>
      <name val="Arial"/>
    </font>
    <font>
      <b/>
      <sz val="10.0"/>
      <color rgb="FF1F4E79"/>
      <name val="Arial"/>
    </font>
    <font>
      <sz val="10.0"/>
      <color rgb="FF1F4E79"/>
      <name val="Arial"/>
    </font>
    <font>
      <b/>
      <sz val="10.0"/>
      <color rgb="FF15803D"/>
      <name val="Arial"/>
    </font>
    <font>
      <sz val="10.0"/>
      <color rgb="FF15803D"/>
      <name val="Arial"/>
    </font>
    <font>
      <i/>
      <sz val="9.0"/>
      <color rgb="FF991B1B"/>
      <name val="Arial"/>
    </font>
    <font>
      <i/>
      <sz val="9.0"/>
      <color rgb="FF92400E"/>
      <name val="Arial"/>
    </font>
    <font>
      <i/>
      <sz val="8.0"/>
      <color rgb="FF1F4E79"/>
      <name val="Arial"/>
    </font>
    <font>
      <sz val="9.0"/>
      <color rgb="FF000000"/>
      <name val="Arial"/>
    </font>
    <font>
      <sz val="10.0"/>
      <color rgb="FF4C1D95"/>
      <name val="Arial"/>
    </font>
    <font>
      <sz val="11.0"/>
      <color theme="1"/>
      <name val="Calibri"/>
    </font>
    <font>
      <b/>
      <sz val="10.0"/>
      <color rgb="FFC2410C"/>
      <name val="Arial"/>
    </font>
    <font>
      <b/>
      <sz val="10.0"/>
      <color rgb="FF000000"/>
      <name val="Arial"/>
    </font>
    <font>
      <sz val="10.0"/>
      <color rgb="FF1F4E79"/>
      <name val="Courier New"/>
    </font>
    <font>
      <i/>
      <sz val="9.0"/>
      <color rgb="FF1F4E79"/>
      <name val="Arial"/>
    </font>
    <font>
      <sz val="9.0"/>
      <color rgb="FF991B1B"/>
      <name val="Arial"/>
    </font>
    <font>
      <b/>
      <sz val="9.0"/>
      <color rgb="FF000000"/>
      <name val="Arial"/>
    </font>
    <font>
      <sz val="9.0"/>
      <color rgb="FF1F4E79"/>
      <name val="Courier New"/>
    </font>
  </fonts>
  <fills count="18">
    <fill>
      <patternFill patternType="none"/>
    </fill>
    <fill>
      <patternFill patternType="lightGray"/>
    </fill>
    <fill>
      <patternFill patternType="solid">
        <fgColor rgb="FF1E3A5F"/>
        <bgColor rgb="FF1E3A5F"/>
      </patternFill>
    </fill>
    <fill>
      <patternFill patternType="solid">
        <fgColor rgb="FF1E40AF"/>
        <bgColor rgb="FF1E40AF"/>
      </patternFill>
    </fill>
    <fill>
      <patternFill patternType="solid">
        <fgColor rgb="FFFFF9C4"/>
        <bgColor rgb="FFFFF9C4"/>
      </patternFill>
    </fill>
    <fill>
      <patternFill patternType="solid">
        <fgColor rgb="FFFFFFFF"/>
        <bgColor rgb="FFFFFFFF"/>
      </patternFill>
    </fill>
    <fill>
      <patternFill patternType="solid">
        <fgColor rgb="FFEEF3F9"/>
        <bgColor rgb="FFEEF3F9"/>
      </patternFill>
    </fill>
    <fill>
      <patternFill patternType="solid">
        <fgColor rgb="FF15803D"/>
        <bgColor rgb="FF15803D"/>
      </patternFill>
    </fill>
    <fill>
      <patternFill patternType="solid">
        <fgColor rgb="FF7C3AED"/>
        <bgColor rgb="FF7C3AED"/>
      </patternFill>
    </fill>
    <fill>
      <patternFill patternType="solid">
        <fgColor rgb="FFC2410C"/>
        <bgColor rgb="FFC2410C"/>
      </patternFill>
    </fill>
    <fill>
      <patternFill patternType="solid">
        <fgColor rgb="FFEBF5FB"/>
        <bgColor rgb="FFEBF5FB"/>
      </patternFill>
    </fill>
    <fill>
      <patternFill patternType="solid">
        <fgColor rgb="FFDCFCE7"/>
        <bgColor rgb="FFDCFCE7"/>
      </patternFill>
    </fill>
    <fill>
      <patternFill patternType="solid">
        <fgColor rgb="FFFEE2E2"/>
        <bgColor rgb="FFFEE2E2"/>
      </patternFill>
    </fill>
    <fill>
      <patternFill patternType="solid">
        <fgColor rgb="FFAAAAAA"/>
        <bgColor rgb="FFAAAAAA"/>
      </patternFill>
    </fill>
    <fill>
      <patternFill patternType="solid">
        <fgColor rgb="FFFFF0E6"/>
        <bgColor rgb="FFFFF0E6"/>
      </patternFill>
    </fill>
    <fill>
      <patternFill patternType="solid">
        <fgColor rgb="FFF0E6FF"/>
        <bgColor rgb="FFF0E6FF"/>
      </patternFill>
    </fill>
    <fill>
      <patternFill patternType="solid">
        <fgColor rgb="FFEFF6FF"/>
        <bgColor rgb="FFEFF6FF"/>
      </patternFill>
    </fill>
    <fill>
      <patternFill patternType="solid">
        <fgColor rgb="FF1F4E79"/>
        <bgColor rgb="FF1F4E79"/>
      </patternFill>
    </fill>
  </fills>
  <borders count="9">
    <border/>
    <border>
      <left style="thin">
        <color rgb="FFBBBBBB"/>
      </left>
      <top style="thin">
        <color rgb="FFBBBBBB"/>
      </top>
      <bottom style="thin">
        <color rgb="FFBBBBBB"/>
      </bottom>
    </border>
    <border>
      <right/>
      <top style="thin">
        <color rgb="FFBBBBBB"/>
      </top>
      <bottom style="thin">
        <color rgb="FFBBBBBB"/>
      </bottom>
    </border>
    <border>
      <left style="thin">
        <color rgb="FFBBBBBB"/>
      </left>
      <right style="thin">
        <color rgb="FFBBBBBB"/>
      </right>
      <top style="thin">
        <color rgb="FFBBBBBB"/>
      </top>
      <bottom style="thin">
        <color rgb="FFBBBBBB"/>
      </bottom>
    </border>
    <border>
      <top style="thin">
        <color rgb="FFBBBBBB"/>
      </top>
      <bottom style="thin">
        <color rgb="FFBBBBBB"/>
      </bottom>
    </border>
    <border>
      <left/>
      <right/>
      <top/>
    </border>
    <border>
      <left/>
      <right/>
    </border>
    <border>
      <left/>
      <right/>
      <bottom/>
    </border>
    <border>
      <right style="thin">
        <color rgb="FFBBBBBB"/>
      </right>
      <top style="thin">
        <color rgb="FFBBBBBB"/>
      </top>
      <bottom style="thin">
        <color rgb="FFBBBBBB"/>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1" fillId="3" fontId="3" numFmtId="0" xfId="0" applyAlignment="1" applyBorder="1" applyFill="1" applyFont="1">
      <alignment horizontal="center" shrinkToFit="0" vertical="center" wrapText="1"/>
    </xf>
    <xf borderId="1" fillId="2" fontId="3" numFmtId="0" xfId="0" applyAlignment="1" applyBorder="1" applyFont="1">
      <alignment horizontal="left" shrinkToFit="0" vertical="center" wrapText="1"/>
    </xf>
    <xf borderId="3" fillId="4" fontId="4" numFmtId="0" xfId="0" applyAlignment="1" applyBorder="1" applyFill="1" applyFont="1">
      <alignment horizontal="left" shrinkToFit="0" vertical="center" wrapText="1"/>
    </xf>
    <xf borderId="3" fillId="5" fontId="5" numFmtId="0" xfId="0" applyAlignment="1" applyBorder="1" applyFill="1" applyFont="1">
      <alignment horizontal="left" shrinkToFit="0" vertical="center" wrapText="1"/>
    </xf>
    <xf borderId="3" fillId="6" fontId="5" numFmtId="0" xfId="0" applyAlignment="1" applyBorder="1" applyFill="1" applyFont="1">
      <alignment horizontal="left" shrinkToFit="0" vertical="center" wrapText="1"/>
    </xf>
    <xf borderId="3" fillId="3" fontId="3" numFmtId="0" xfId="0" applyAlignment="1" applyBorder="1" applyFont="1">
      <alignment horizontal="center" shrinkToFit="0" vertical="center" wrapText="1"/>
    </xf>
    <xf borderId="3" fillId="3" fontId="3" numFmtId="0" xfId="0" applyAlignment="1" applyBorder="1" applyFont="1">
      <alignment horizontal="left" shrinkToFit="0" vertical="center" wrapText="1"/>
    </xf>
    <xf borderId="3" fillId="3" fontId="6" numFmtId="0" xfId="0" applyAlignment="1" applyBorder="1" applyFont="1">
      <alignment horizontal="left" shrinkToFit="0" vertical="center" wrapText="1"/>
    </xf>
    <xf borderId="3" fillId="7" fontId="3" numFmtId="0" xfId="0" applyAlignment="1" applyBorder="1" applyFill="1" applyFont="1">
      <alignment horizontal="left" shrinkToFit="0" vertical="center" wrapText="1"/>
    </xf>
    <xf borderId="3" fillId="7" fontId="6" numFmtId="0" xfId="0" applyAlignment="1" applyBorder="1" applyFont="1">
      <alignment horizontal="left" shrinkToFit="0" vertical="center" wrapText="1"/>
    </xf>
    <xf borderId="3" fillId="8" fontId="3" numFmtId="0" xfId="0" applyAlignment="1" applyBorder="1" applyFill="1" applyFont="1">
      <alignment horizontal="left" shrinkToFit="0" vertical="center" wrapText="1"/>
    </xf>
    <xf borderId="3" fillId="8" fontId="6" numFmtId="0" xfId="0" applyAlignment="1" applyBorder="1" applyFont="1">
      <alignment horizontal="left" shrinkToFit="0" vertical="center" wrapText="1"/>
    </xf>
    <xf borderId="3" fillId="9" fontId="3" numFmtId="0" xfId="0" applyAlignment="1" applyBorder="1" applyFill="1" applyFont="1">
      <alignment horizontal="left" shrinkToFit="0" vertical="center" wrapText="1"/>
    </xf>
    <xf borderId="3" fillId="9" fontId="6" numFmtId="0" xfId="0" applyAlignment="1" applyBorder="1" applyFont="1">
      <alignment horizontal="left" shrinkToFit="0" vertical="center" wrapText="1"/>
    </xf>
    <xf borderId="3" fillId="4" fontId="7" numFmtId="0" xfId="0" applyAlignment="1" applyBorder="1" applyFont="1">
      <alignment horizontal="left" shrinkToFit="0" vertical="center" wrapText="1"/>
    </xf>
    <xf borderId="3" fillId="10" fontId="8" numFmtId="0" xfId="0" applyAlignment="1" applyBorder="1" applyFill="1" applyFont="1">
      <alignment horizontal="left" shrinkToFit="0" vertical="center" wrapText="1"/>
    </xf>
    <xf borderId="3" fillId="10" fontId="9" numFmtId="0" xfId="0" applyAlignment="1" applyBorder="1" applyFont="1">
      <alignment horizontal="left" shrinkToFit="0" vertical="center" wrapText="1"/>
    </xf>
    <xf borderId="3" fillId="11" fontId="10" numFmtId="0" xfId="0" applyAlignment="1" applyBorder="1" applyFill="1" applyFont="1">
      <alignment horizontal="left" shrinkToFit="0" vertical="center" wrapText="1"/>
    </xf>
    <xf borderId="3" fillId="11" fontId="11" numFmtId="0" xfId="0" applyAlignment="1" applyBorder="1" applyFont="1">
      <alignment horizontal="left" shrinkToFit="0" vertical="center" wrapText="1"/>
    </xf>
    <xf borderId="1" fillId="12" fontId="12" numFmtId="0" xfId="0" applyAlignment="1" applyBorder="1" applyFill="1" applyFont="1">
      <alignment horizontal="left" shrinkToFit="0" vertical="center" wrapText="1"/>
    </xf>
    <xf borderId="4" fillId="0" fontId="2" numFmtId="0" xfId="0" applyBorder="1" applyFont="1"/>
    <xf borderId="1" fillId="3" fontId="3" numFmtId="0" xfId="0" applyAlignment="1" applyBorder="1" applyFont="1">
      <alignment horizontal="left" shrinkToFit="0" vertical="center" wrapText="1"/>
    </xf>
    <xf borderId="1" fillId="4" fontId="13" numFmtId="0" xfId="0" applyAlignment="1" applyBorder="1" applyFont="1">
      <alignment horizontal="left" shrinkToFit="0" vertical="center" wrapText="1"/>
    </xf>
    <xf borderId="3" fillId="13" fontId="3" numFmtId="0" xfId="0" applyAlignment="1" applyBorder="1" applyFill="1" applyFont="1">
      <alignment horizontal="center" shrinkToFit="0" vertical="center" wrapText="1"/>
    </xf>
    <xf borderId="3" fillId="9" fontId="3" numFmtId="0" xfId="0" applyAlignment="1" applyBorder="1" applyFont="1">
      <alignment horizontal="center" shrinkToFit="0" vertical="center" wrapText="1"/>
    </xf>
    <xf borderId="5" fillId="2" fontId="3" numFmtId="0" xfId="0" applyAlignment="1" applyBorder="1" applyFont="1">
      <alignment horizontal="center" shrinkToFit="0" vertical="center" wrapText="1"/>
    </xf>
    <xf borderId="3" fillId="10" fontId="14" numFmtId="0" xfId="0" applyAlignment="1" applyBorder="1" applyFont="1">
      <alignment horizontal="center" shrinkToFit="0" vertical="center" wrapText="1"/>
    </xf>
    <xf borderId="6" fillId="0" fontId="2" numFmtId="0" xfId="0" applyBorder="1" applyFont="1"/>
    <xf borderId="3" fillId="2" fontId="3" numFmtId="0" xfId="0" applyAlignment="1" applyBorder="1" applyFont="1">
      <alignment horizontal="left" shrinkToFit="0" vertical="center" wrapText="1"/>
    </xf>
    <xf borderId="3" fillId="6" fontId="5" numFmtId="164" xfId="0" applyAlignment="1" applyBorder="1" applyFont="1" applyNumberFormat="1">
      <alignment horizontal="center" shrinkToFit="0" vertical="center" wrapText="1"/>
    </xf>
    <xf borderId="3" fillId="14" fontId="7" numFmtId="0" xfId="0" applyAlignment="1" applyBorder="1" applyFill="1" applyFont="1">
      <alignment horizontal="center" shrinkToFit="0" vertical="center" wrapText="1"/>
    </xf>
    <xf borderId="3" fillId="6" fontId="5" numFmtId="0" xfId="0" applyAlignment="1" applyBorder="1" applyFont="1">
      <alignment horizontal="center" shrinkToFit="0" vertical="center" wrapText="1"/>
    </xf>
    <xf borderId="3" fillId="6" fontId="5" numFmtId="3" xfId="0" applyAlignment="1" applyBorder="1" applyFont="1" applyNumberFormat="1">
      <alignment horizontal="center" shrinkToFit="0" vertical="center" wrapText="1"/>
    </xf>
    <xf borderId="7" fillId="0" fontId="2" numFmtId="0" xfId="0" applyBorder="1" applyFont="1"/>
    <xf borderId="3" fillId="5" fontId="5" numFmtId="0" xfId="0" applyAlignment="1" applyBorder="1" applyFont="1">
      <alignment horizontal="center" shrinkToFit="0" vertical="center" wrapText="1"/>
    </xf>
    <xf borderId="3" fillId="5" fontId="5" numFmtId="164" xfId="0" applyAlignment="1" applyBorder="1" applyFont="1" applyNumberFormat="1">
      <alignment horizontal="center" shrinkToFit="0" vertical="center" wrapText="1"/>
    </xf>
    <xf borderId="3" fillId="5" fontId="5" numFmtId="3" xfId="0" applyAlignment="1" applyBorder="1" applyFont="1" applyNumberFormat="1">
      <alignment horizontal="center" shrinkToFit="0" vertical="center" wrapText="1"/>
    </xf>
    <xf borderId="3" fillId="5" fontId="15" numFmtId="0" xfId="0" applyAlignment="1" applyBorder="1" applyFont="1">
      <alignment horizontal="left" shrinkToFit="0" vertical="center" wrapText="1"/>
    </xf>
    <xf borderId="3" fillId="6" fontId="15" numFmtId="0" xfId="0" applyAlignment="1" applyBorder="1" applyFont="1">
      <alignment horizontal="left" shrinkToFit="0" vertical="center" wrapText="1"/>
    </xf>
    <xf borderId="8" fillId="0" fontId="2" numFmtId="0" xfId="0" applyBorder="1" applyFont="1"/>
    <xf borderId="1" fillId="7" fontId="3" numFmtId="0" xfId="0" applyAlignment="1" applyBorder="1" applyFont="1">
      <alignment horizontal="left" shrinkToFit="0" vertical="center" wrapText="1"/>
    </xf>
    <xf borderId="3" fillId="8" fontId="3" numFmtId="0" xfId="0" applyAlignment="1" applyBorder="1" applyFont="1">
      <alignment horizontal="center" shrinkToFit="0" vertical="center" wrapText="1"/>
    </xf>
    <xf borderId="3" fillId="7" fontId="3" numFmtId="0" xfId="0" applyAlignment="1" applyBorder="1" applyFont="1">
      <alignment horizontal="center" shrinkToFit="0" vertical="center" wrapText="1"/>
    </xf>
    <xf borderId="3" fillId="2" fontId="3" numFmtId="0" xfId="0" applyAlignment="1" applyBorder="1" applyFont="1">
      <alignment horizontal="center" shrinkToFit="0" vertical="center" wrapText="1"/>
    </xf>
    <xf borderId="3" fillId="15" fontId="16" numFmtId="0" xfId="0" applyAlignment="1" applyBorder="1" applyFill="1" applyFont="1">
      <alignment horizontal="center" shrinkToFit="0" vertical="center" wrapText="1"/>
    </xf>
    <xf borderId="1" fillId="5" fontId="17" numFmtId="0" xfId="0" applyAlignment="1" applyBorder="1" applyFont="1">
      <alignment shrinkToFit="0" vertical="bottom" wrapText="0"/>
    </xf>
    <xf borderId="3" fillId="16" fontId="18" numFmtId="0" xfId="0" applyAlignment="1" applyBorder="1" applyFill="1" applyFont="1">
      <alignment horizontal="center" shrinkToFit="0" vertical="center" wrapText="1"/>
    </xf>
    <xf borderId="1" fillId="16" fontId="18" numFmtId="0" xfId="0" applyAlignment="1" applyBorder="1" applyFont="1">
      <alignment horizontal="center" shrinkToFit="0" vertical="center" wrapText="1"/>
    </xf>
    <xf borderId="1" fillId="17" fontId="3" numFmtId="0" xfId="0" applyAlignment="1" applyBorder="1" applyFill="1" applyFont="1">
      <alignment horizontal="left" shrinkToFit="0" vertical="center" wrapText="1"/>
    </xf>
    <xf borderId="3" fillId="6" fontId="19" numFmtId="0" xfId="0" applyAlignment="1" applyBorder="1" applyFont="1">
      <alignment horizontal="left" shrinkToFit="0" vertical="center" wrapText="1"/>
    </xf>
    <xf borderId="3" fillId="5" fontId="19" numFmtId="0" xfId="0" applyAlignment="1" applyBorder="1" applyFont="1">
      <alignment horizontal="left" shrinkToFit="0" vertical="center" wrapText="1"/>
    </xf>
    <xf borderId="3" fillId="17" fontId="3" numFmtId="0" xfId="0" applyAlignment="1" applyBorder="1" applyFont="1">
      <alignment horizontal="center" shrinkToFit="0" vertical="center" wrapText="1"/>
    </xf>
    <xf borderId="3" fillId="10" fontId="20" numFmtId="0" xfId="0" applyAlignment="1" applyBorder="1" applyFont="1">
      <alignment horizontal="left" shrinkToFit="0" vertical="center" wrapText="1"/>
    </xf>
    <xf borderId="3" fillId="6" fontId="21" numFmtId="0" xfId="0" applyAlignment="1" applyBorder="1" applyFont="1">
      <alignment horizontal="left" shrinkToFit="0" vertical="center" wrapText="1"/>
    </xf>
    <xf borderId="3" fillId="5" fontId="21" numFmtId="0" xfId="0" applyAlignment="1" applyBorder="1" applyFont="1">
      <alignment horizontal="left" shrinkToFit="0" vertical="center" wrapText="1"/>
    </xf>
    <xf borderId="3" fillId="12" fontId="22" numFmtId="0" xfId="0" applyAlignment="1" applyBorder="1" applyFont="1">
      <alignment horizontal="left" shrinkToFit="0" vertical="center" wrapText="1"/>
    </xf>
    <xf borderId="3" fillId="5" fontId="23" numFmtId="0" xfId="0" applyAlignment="1" applyBorder="1" applyFont="1">
      <alignment horizontal="left" shrinkToFit="0" vertical="center" wrapText="1"/>
    </xf>
    <xf borderId="3" fillId="10" fontId="24" numFmtId="0" xfId="0" applyAlignment="1" applyBorder="1" applyFont="1">
      <alignment horizontal="left" shrinkToFit="0" vertical="center" wrapText="1"/>
    </xf>
    <xf borderId="3" fillId="6" fontId="23" numFmtId="0" xfId="0" applyAlignment="1" applyBorder="1" applyFont="1">
      <alignment horizontal="left" shrinkToFit="0" vertical="center" wrapText="1"/>
    </xf>
    <xf borderId="1" fillId="10" fontId="21" numFmtId="0" xfId="0" applyAlignment="1" applyBorder="1" applyFont="1">
      <alignment horizontal="left" shrinkToFit="0" vertical="center" wrapText="1"/>
    </xf>
    <xf borderId="3" fillId="5" fontId="19" numFmtId="0" xfId="0" applyAlignment="1" applyBorder="1" applyFont="1">
      <alignment horizontal="center" shrinkToFit="0" vertical="center" wrapText="1"/>
    </xf>
    <xf borderId="3" fillId="6" fontId="19" numFmtId="0" xfId="0" applyAlignment="1" applyBorder="1" applyFont="1">
      <alignment horizontal="center" shrinkToFit="0" vertical="center" wrapText="1"/>
    </xf>
    <xf borderId="3" fillId="3" fontId="3" numFmtId="3"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70.0"/>
    <col customWidth="1" min="3" max="26" width="8.71"/>
  </cols>
  <sheetData>
    <row r="1" ht="37.5" customHeight="1">
      <c r="A1" s="1" t="s">
        <v>0</v>
      </c>
      <c r="B1" s="2"/>
    </row>
    <row r="2" ht="21.75" customHeight="1">
      <c r="A2" s="3" t="s">
        <v>1</v>
      </c>
      <c r="B2" s="2"/>
    </row>
    <row r="4" ht="24.0" customHeight="1">
      <c r="A4" s="4" t="s">
        <v>2</v>
      </c>
      <c r="B4" s="2"/>
    </row>
    <row r="5" ht="25.5" customHeight="1">
      <c r="A5" s="5" t="s">
        <v>3</v>
      </c>
      <c r="B5" s="6" t="s">
        <v>4</v>
      </c>
    </row>
    <row r="6" ht="25.5" customHeight="1">
      <c r="A6" s="5" t="s">
        <v>5</v>
      </c>
      <c r="B6" s="7" t="s">
        <v>6</v>
      </c>
    </row>
    <row r="7" ht="25.5" customHeight="1">
      <c r="A7" s="5" t="s">
        <v>7</v>
      </c>
      <c r="B7" s="6" t="s">
        <v>8</v>
      </c>
    </row>
    <row r="9" ht="24.0" customHeight="1">
      <c r="A9" s="4" t="s">
        <v>9</v>
      </c>
      <c r="B9" s="2"/>
    </row>
    <row r="10" ht="21.75" customHeight="1">
      <c r="A10" s="8" t="s">
        <v>10</v>
      </c>
      <c r="B10" s="8" t="s">
        <v>11</v>
      </c>
    </row>
    <row r="11" ht="25.5" customHeight="1">
      <c r="A11" s="5" t="s">
        <v>12</v>
      </c>
      <c r="B11" s="6" t="s">
        <v>13</v>
      </c>
    </row>
    <row r="12" ht="25.5" customHeight="1">
      <c r="A12" s="5" t="s">
        <v>14</v>
      </c>
      <c r="B12" s="7" t="s">
        <v>15</v>
      </c>
    </row>
    <row r="13" ht="25.5" customHeight="1">
      <c r="A13" s="5" t="s">
        <v>16</v>
      </c>
      <c r="B13" s="6" t="s">
        <v>17</v>
      </c>
    </row>
    <row r="14" ht="25.5" customHeight="1">
      <c r="A14" s="5" t="s">
        <v>18</v>
      </c>
      <c r="B14" s="7" t="s">
        <v>19</v>
      </c>
    </row>
    <row r="15" ht="25.5" customHeight="1">
      <c r="A15" s="5" t="s">
        <v>20</v>
      </c>
      <c r="B15" s="6" t="s">
        <v>21</v>
      </c>
    </row>
    <row r="16" ht="25.5" customHeight="1">
      <c r="A16" s="5" t="s">
        <v>22</v>
      </c>
      <c r="B16" s="7" t="s">
        <v>23</v>
      </c>
    </row>
    <row r="17" ht="25.5" customHeight="1">
      <c r="A17" s="5" t="s">
        <v>24</v>
      </c>
      <c r="B17" s="6" t="s">
        <v>25</v>
      </c>
    </row>
    <row r="19" ht="24.0" customHeight="1">
      <c r="A19" s="4" t="s">
        <v>26</v>
      </c>
      <c r="B19" s="2"/>
    </row>
    <row r="20" ht="21.75" customHeight="1">
      <c r="A20" s="9" t="s">
        <v>27</v>
      </c>
      <c r="B20" s="10" t="s">
        <v>28</v>
      </c>
    </row>
    <row r="21" ht="21.75" customHeight="1">
      <c r="A21" s="11" t="s">
        <v>29</v>
      </c>
      <c r="B21" s="12" t="s">
        <v>30</v>
      </c>
    </row>
    <row r="22" ht="21.75" customHeight="1">
      <c r="A22" s="13" t="s">
        <v>31</v>
      </c>
      <c r="B22" s="14" t="s">
        <v>32</v>
      </c>
    </row>
    <row r="23" ht="21.75" customHeight="1">
      <c r="A23" s="15" t="s">
        <v>33</v>
      </c>
      <c r="B23" s="16" t="s">
        <v>34</v>
      </c>
    </row>
    <row r="24" ht="21.75" customHeight="1">
      <c r="A24" s="5" t="s">
        <v>35</v>
      </c>
      <c r="B24" s="17" t="s">
        <v>36</v>
      </c>
    </row>
    <row r="25" ht="21.75" customHeight="1">
      <c r="A25" s="18" t="s">
        <v>37</v>
      </c>
      <c r="B25" s="19" t="s">
        <v>38</v>
      </c>
    </row>
    <row r="26" ht="21.75" customHeight="1">
      <c r="A26" s="20" t="s">
        <v>39</v>
      </c>
      <c r="B26" s="21" t="s">
        <v>40</v>
      </c>
    </row>
    <row r="27" ht="15.75" customHeight="1"/>
    <row r="28" ht="27.75" customHeight="1">
      <c r="A28" s="22" t="s">
        <v>41</v>
      </c>
      <c r="B28" s="2"/>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B1"/>
    <mergeCell ref="A2:B2"/>
    <mergeCell ref="A4:B4"/>
    <mergeCell ref="A9:B9"/>
    <mergeCell ref="A19:B19"/>
    <mergeCell ref="A28:B28"/>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3" width="14.0"/>
    <col customWidth="1" min="4" max="4" width="12.0"/>
    <col customWidth="1" min="5" max="5" width="10.0"/>
    <col customWidth="1" min="6" max="6" width="14.0"/>
    <col customWidth="1" min="7" max="7" width="4.0"/>
    <col customWidth="1" min="8" max="8" width="55.0"/>
    <col customWidth="1" min="9" max="26" width="8.71"/>
  </cols>
  <sheetData>
    <row r="1" ht="37.5" customHeight="1">
      <c r="A1" s="1" t="s">
        <v>42</v>
      </c>
      <c r="B1" s="23"/>
      <c r="C1" s="23"/>
      <c r="D1" s="23"/>
      <c r="E1" s="23"/>
      <c r="F1" s="2"/>
    </row>
    <row r="2" ht="21.75" customHeight="1">
      <c r="A2" s="3" t="s">
        <v>43</v>
      </c>
      <c r="B2" s="23"/>
      <c r="C2" s="23"/>
      <c r="D2" s="23"/>
      <c r="E2" s="23"/>
      <c r="F2" s="2"/>
    </row>
    <row r="4" ht="24.0" customHeight="1">
      <c r="A4" s="24" t="s">
        <v>44</v>
      </c>
      <c r="B4" s="23"/>
      <c r="C4" s="23"/>
      <c r="D4" s="23"/>
      <c r="E4" s="23"/>
      <c r="F4" s="2"/>
    </row>
    <row r="5" ht="27.75" customHeight="1">
      <c r="A5" s="25" t="s">
        <v>45</v>
      </c>
      <c r="B5" s="23"/>
      <c r="C5" s="23"/>
      <c r="D5" s="23"/>
      <c r="E5" s="23"/>
      <c r="F5" s="2"/>
    </row>
    <row r="6" ht="24.0" customHeight="1">
      <c r="A6" s="26" t="s">
        <v>46</v>
      </c>
      <c r="B6" s="26" t="s">
        <v>47</v>
      </c>
      <c r="C6" s="27" t="s">
        <v>48</v>
      </c>
      <c r="D6" s="27" t="s">
        <v>49</v>
      </c>
      <c r="E6" s="8" t="s">
        <v>50</v>
      </c>
      <c r="F6" s="8" t="s">
        <v>51</v>
      </c>
      <c r="H6" s="28" t="s">
        <v>52</v>
      </c>
    </row>
    <row r="7" ht="18.0" customHeight="1">
      <c r="A7" s="29" t="s">
        <v>53</v>
      </c>
      <c r="B7" s="29" t="s">
        <v>54</v>
      </c>
      <c r="C7" s="29" t="s">
        <v>55</v>
      </c>
      <c r="D7" s="29" t="s">
        <v>56</v>
      </c>
      <c r="E7" s="29" t="s">
        <v>57</v>
      </c>
      <c r="F7" s="29" t="s">
        <v>58</v>
      </c>
      <c r="H7" s="30"/>
    </row>
    <row r="8" ht="24.0" customHeight="1">
      <c r="A8" s="31" t="s">
        <v>59</v>
      </c>
      <c r="B8" s="32">
        <v>45292.0</v>
      </c>
      <c r="C8" s="33" t="s">
        <v>60</v>
      </c>
      <c r="D8" s="33" t="s">
        <v>61</v>
      </c>
      <c r="E8" s="34">
        <v>2.0</v>
      </c>
      <c r="F8" s="35">
        <v>200.0</v>
      </c>
      <c r="H8" s="36"/>
    </row>
    <row r="9" ht="27.75" customHeight="1">
      <c r="A9" s="37">
        <v>1002.0</v>
      </c>
      <c r="B9" s="38">
        <v>45293.0</v>
      </c>
      <c r="C9" s="33" t="s">
        <v>62</v>
      </c>
      <c r="D9" s="33" t="s">
        <v>63</v>
      </c>
      <c r="E9" s="37">
        <v>1.0</v>
      </c>
      <c r="F9" s="39">
        <v>150.0</v>
      </c>
      <c r="H9" s="40" t="s">
        <v>64</v>
      </c>
    </row>
    <row r="10" ht="27.75" customHeight="1">
      <c r="A10" s="34">
        <v>1003.0</v>
      </c>
      <c r="B10" s="32">
        <v>45294.0</v>
      </c>
      <c r="C10" s="33" t="s">
        <v>65</v>
      </c>
      <c r="D10" s="33" t="s">
        <v>66</v>
      </c>
      <c r="E10" s="34">
        <v>3.0</v>
      </c>
      <c r="F10" s="35">
        <v>450.0</v>
      </c>
      <c r="H10" s="41" t="s">
        <v>67</v>
      </c>
    </row>
    <row r="11" ht="27.75" customHeight="1">
      <c r="A11" s="37">
        <v>1004.0</v>
      </c>
      <c r="B11" s="38">
        <v>45295.0</v>
      </c>
      <c r="C11" s="33" t="s">
        <v>60</v>
      </c>
      <c r="D11" s="33" t="s">
        <v>63</v>
      </c>
      <c r="E11" s="37">
        <v>2.0</v>
      </c>
      <c r="F11" s="39">
        <v>300.0</v>
      </c>
      <c r="H11" s="40" t="s">
        <v>68</v>
      </c>
    </row>
    <row r="12" ht="27.75" customHeight="1">
      <c r="A12" s="34">
        <v>1005.0</v>
      </c>
      <c r="B12" s="32">
        <v>45296.0</v>
      </c>
      <c r="C12" s="33" t="s">
        <v>69</v>
      </c>
      <c r="D12" s="33" t="s">
        <v>61</v>
      </c>
      <c r="E12" s="34">
        <v>1.0</v>
      </c>
      <c r="F12" s="35">
        <v>100.0</v>
      </c>
      <c r="H12" s="41" t="s">
        <v>70</v>
      </c>
    </row>
    <row r="13" ht="27.75" customHeight="1">
      <c r="A13" s="37">
        <v>1006.0</v>
      </c>
      <c r="B13" s="38">
        <v>45297.0</v>
      </c>
      <c r="C13" s="33" t="s">
        <v>62</v>
      </c>
      <c r="D13" s="33" t="s">
        <v>66</v>
      </c>
      <c r="E13" s="37">
        <v>4.0</v>
      </c>
      <c r="F13" s="39">
        <v>600.0</v>
      </c>
      <c r="H13" s="40" t="s">
        <v>71</v>
      </c>
    </row>
    <row r="14" ht="27.75" customHeight="1">
      <c r="A14" s="34">
        <v>1007.0</v>
      </c>
      <c r="B14" s="32">
        <v>45298.0</v>
      </c>
      <c r="C14" s="33" t="s">
        <v>72</v>
      </c>
      <c r="D14" s="33" t="s">
        <v>63</v>
      </c>
      <c r="E14" s="34">
        <v>2.0</v>
      </c>
      <c r="F14" s="35">
        <v>300.0</v>
      </c>
      <c r="H14" s="41" t="s">
        <v>73</v>
      </c>
    </row>
    <row r="15" ht="27.75" customHeight="1">
      <c r="A15" s="37">
        <v>1008.0</v>
      </c>
      <c r="B15" s="38">
        <v>45299.0</v>
      </c>
      <c r="C15" s="33" t="s">
        <v>65</v>
      </c>
      <c r="D15" s="33" t="s">
        <v>61</v>
      </c>
      <c r="E15" s="37">
        <v>1.0</v>
      </c>
      <c r="F15" s="39">
        <v>100.0</v>
      </c>
      <c r="H15" s="40" t="s">
        <v>74</v>
      </c>
    </row>
    <row r="16" ht="18.0" customHeight="1">
      <c r="A16" s="34">
        <v>1009.0</v>
      </c>
      <c r="B16" s="32">
        <v>45300.0</v>
      </c>
      <c r="C16" s="33" t="s">
        <v>69</v>
      </c>
      <c r="D16" s="33" t="s">
        <v>66</v>
      </c>
      <c r="E16" s="34">
        <v>2.0</v>
      </c>
      <c r="F16" s="35">
        <v>300.0</v>
      </c>
    </row>
    <row r="17" ht="27.75" customHeight="1">
      <c r="A17" s="25" t="s">
        <v>75</v>
      </c>
      <c r="B17" s="23"/>
      <c r="C17" s="23"/>
      <c r="D17" s="23"/>
      <c r="E17" s="23"/>
      <c r="F17" s="4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F1"/>
    <mergeCell ref="A2:F2"/>
    <mergeCell ref="A4:F4"/>
    <mergeCell ref="A5:F5"/>
    <mergeCell ref="H6:H8"/>
    <mergeCell ref="A17:F17"/>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6.0"/>
    <col customWidth="1" min="3" max="3" width="12.0"/>
    <col customWidth="1" min="4" max="4" width="4.0"/>
    <col customWidth="1" min="5" max="5" width="55.0"/>
    <col customWidth="1" min="6" max="26" width="8.71"/>
  </cols>
  <sheetData>
    <row r="1" ht="37.5" customHeight="1">
      <c r="A1" s="1" t="s">
        <v>76</v>
      </c>
      <c r="B1" s="23"/>
      <c r="C1" s="2"/>
    </row>
    <row r="2" ht="21.75" customHeight="1">
      <c r="A2" s="3" t="s">
        <v>77</v>
      </c>
      <c r="B2" s="23"/>
      <c r="C2" s="2"/>
    </row>
    <row r="4" ht="24.0" customHeight="1">
      <c r="A4" s="43" t="s">
        <v>78</v>
      </c>
      <c r="B4" s="23"/>
      <c r="C4" s="2"/>
    </row>
    <row r="5" ht="27.75" customHeight="1">
      <c r="A5" s="25" t="s">
        <v>79</v>
      </c>
      <c r="B5" s="23"/>
      <c r="C5" s="2"/>
    </row>
    <row r="6" ht="24.0" customHeight="1">
      <c r="A6" s="44" t="s">
        <v>48</v>
      </c>
      <c r="B6" s="45" t="s">
        <v>80</v>
      </c>
      <c r="C6" s="45" t="s">
        <v>81</v>
      </c>
      <c r="E6" s="46" t="s">
        <v>52</v>
      </c>
    </row>
    <row r="7" ht="27.75" customHeight="1">
      <c r="A7" s="29" t="s">
        <v>82</v>
      </c>
      <c r="B7" s="29" t="s">
        <v>83</v>
      </c>
      <c r="C7" s="29" t="s">
        <v>84</v>
      </c>
      <c r="E7" s="40" t="s">
        <v>85</v>
      </c>
    </row>
    <row r="8" ht="27.75" customHeight="1">
      <c r="A8" s="47" t="s">
        <v>60</v>
      </c>
      <c r="B8" s="34" t="s">
        <v>86</v>
      </c>
      <c r="C8" s="34" t="s">
        <v>87</v>
      </c>
      <c r="E8" s="41" t="s">
        <v>88</v>
      </c>
    </row>
    <row r="9" ht="27.75" customHeight="1">
      <c r="A9" s="47" t="s">
        <v>62</v>
      </c>
      <c r="B9" s="37" t="s">
        <v>89</v>
      </c>
      <c r="C9" s="37" t="s">
        <v>90</v>
      </c>
      <c r="E9" s="40" t="s">
        <v>91</v>
      </c>
    </row>
    <row r="10" ht="27.75" customHeight="1">
      <c r="A10" s="47" t="s">
        <v>65</v>
      </c>
      <c r="B10" s="34" t="s">
        <v>92</v>
      </c>
      <c r="C10" s="34" t="s">
        <v>93</v>
      </c>
      <c r="E10" s="41" t="s">
        <v>94</v>
      </c>
    </row>
    <row r="11" ht="27.75" customHeight="1">
      <c r="A11" s="47" t="s">
        <v>69</v>
      </c>
      <c r="B11" s="37" t="s">
        <v>95</v>
      </c>
      <c r="C11" s="37" t="s">
        <v>96</v>
      </c>
      <c r="E11" s="40" t="s">
        <v>97</v>
      </c>
    </row>
    <row r="12" ht="27.75" customHeight="1">
      <c r="A12" s="47" t="s">
        <v>72</v>
      </c>
      <c r="B12" s="34" t="s">
        <v>98</v>
      </c>
      <c r="C12" s="34" t="s">
        <v>87</v>
      </c>
      <c r="E12" s="41" t="s">
        <v>99</v>
      </c>
    </row>
    <row r="13" ht="27.75" customHeight="1">
      <c r="E13" s="40" t="s">
        <v>100</v>
      </c>
    </row>
    <row r="15" ht="27.75" customHeight="1">
      <c r="A15" s="25" t="s">
        <v>101</v>
      </c>
      <c r="B15" s="23"/>
      <c r="C15"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1"/>
    <mergeCell ref="A2:C2"/>
    <mergeCell ref="A4:C4"/>
    <mergeCell ref="A5:C5"/>
    <mergeCell ref="A15:C15"/>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4.0"/>
    <col customWidth="1" min="3" max="3" width="12.0"/>
    <col customWidth="1" min="4" max="4" width="4.0"/>
    <col customWidth="1" min="5" max="5" width="55.0"/>
    <col customWidth="1" min="6" max="26" width="8.71"/>
  </cols>
  <sheetData>
    <row r="1" ht="37.5" customHeight="1">
      <c r="A1" s="1" t="s">
        <v>102</v>
      </c>
      <c r="B1" s="23"/>
      <c r="C1" s="2"/>
    </row>
    <row r="2" ht="21.75" customHeight="1">
      <c r="A2" s="3" t="s">
        <v>103</v>
      </c>
      <c r="B2" s="23"/>
      <c r="C2" s="2"/>
    </row>
    <row r="4" ht="24.0" customHeight="1">
      <c r="A4" s="43" t="s">
        <v>104</v>
      </c>
      <c r="B4" s="23"/>
      <c r="C4" s="2"/>
    </row>
    <row r="5" ht="27.75" customHeight="1">
      <c r="A5" s="25" t="s">
        <v>105</v>
      </c>
      <c r="B5" s="23"/>
      <c r="C5" s="2"/>
    </row>
    <row r="6" ht="24.0" customHeight="1">
      <c r="A6" s="44" t="s">
        <v>49</v>
      </c>
      <c r="B6" s="45" t="s">
        <v>106</v>
      </c>
      <c r="C6" s="45" t="s">
        <v>107</v>
      </c>
      <c r="E6" s="46" t="s">
        <v>108</v>
      </c>
    </row>
    <row r="7" ht="27.75" customHeight="1">
      <c r="A7" s="29" t="s">
        <v>109</v>
      </c>
      <c r="B7" s="29" t="s">
        <v>110</v>
      </c>
      <c r="C7" s="29" t="s">
        <v>111</v>
      </c>
      <c r="E7" s="40" t="s">
        <v>112</v>
      </c>
    </row>
    <row r="8" ht="27.75" customHeight="1">
      <c r="A8" s="47" t="s">
        <v>61</v>
      </c>
      <c r="B8" s="34" t="s">
        <v>113</v>
      </c>
      <c r="C8" s="35">
        <v>100.0</v>
      </c>
      <c r="E8" s="41" t="s">
        <v>114</v>
      </c>
    </row>
    <row r="9" ht="27.75" customHeight="1">
      <c r="A9" s="47" t="s">
        <v>63</v>
      </c>
      <c r="B9" s="37" t="s">
        <v>115</v>
      </c>
      <c r="C9" s="39">
        <v>150.0</v>
      </c>
      <c r="E9" s="40" t="s">
        <v>116</v>
      </c>
    </row>
    <row r="10" ht="27.75" customHeight="1">
      <c r="A10" s="47" t="s">
        <v>66</v>
      </c>
      <c r="B10" s="34" t="s">
        <v>117</v>
      </c>
      <c r="C10" s="35">
        <v>150.0</v>
      </c>
      <c r="E10" s="41" t="s">
        <v>118</v>
      </c>
    </row>
    <row r="11" ht="27.75" customHeight="1">
      <c r="E11" s="40" t="s">
        <v>119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2:C2"/>
    <mergeCell ref="A4:C4"/>
    <mergeCell ref="A5:C5"/>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4" width="26.0"/>
    <col customWidth="1" min="5" max="26" width="8.71"/>
  </cols>
  <sheetData>
    <row r="1" ht="37.5" customHeight="1">
      <c r="A1" s="1" t="s">
        <v>120</v>
      </c>
      <c r="B1" s="23"/>
      <c r="C1" s="23"/>
      <c r="D1" s="2"/>
    </row>
    <row r="2" ht="21.75" customHeight="1">
      <c r="A2" s="3" t="s">
        <v>121</v>
      </c>
      <c r="B2" s="23"/>
      <c r="C2" s="23"/>
      <c r="D2" s="2"/>
    </row>
    <row r="4" ht="24.0" customHeight="1">
      <c r="A4" s="4" t="s">
        <v>122</v>
      </c>
      <c r="B4" s="23"/>
      <c r="C4" s="23"/>
      <c r="D4" s="2"/>
    </row>
    <row r="5" ht="15.75" customHeight="1"/>
    <row r="6">
      <c r="A6" s="48"/>
      <c r="B6" s="23"/>
      <c r="C6" s="23"/>
      <c r="D6" s="2"/>
    </row>
    <row r="7" ht="60.0" customHeight="1">
      <c r="A7" s="45" t="s">
        <v>123</v>
      </c>
      <c r="B7" s="49" t="s">
        <v>124</v>
      </c>
      <c r="C7" s="8" t="s">
        <v>125</v>
      </c>
      <c r="D7" s="45" t="s">
        <v>126</v>
      </c>
    </row>
    <row r="8" ht="21.75" customHeight="1">
      <c r="C8" s="50" t="s">
        <v>127</v>
      </c>
      <c r="D8" s="2"/>
    </row>
    <row r="9" ht="15.75" customHeight="1"/>
    <row r="10" ht="24.0" customHeight="1">
      <c r="A10" s="51" t="s">
        <v>128</v>
      </c>
      <c r="B10" s="23"/>
      <c r="C10" s="23"/>
      <c r="D10" s="2"/>
    </row>
    <row r="11" ht="21.75" customHeight="1">
      <c r="A11" s="46" t="s">
        <v>129</v>
      </c>
      <c r="B11" s="46" t="s">
        <v>130</v>
      </c>
      <c r="C11" s="46" t="s">
        <v>131</v>
      </c>
      <c r="D11" s="46" t="s">
        <v>132</v>
      </c>
    </row>
    <row r="12" ht="25.5" customHeight="1">
      <c r="A12" s="52" t="s">
        <v>133</v>
      </c>
      <c r="B12" s="7" t="s">
        <v>134</v>
      </c>
      <c r="C12" s="7" t="s">
        <v>135</v>
      </c>
      <c r="D12" s="7" t="s">
        <v>136</v>
      </c>
    </row>
    <row r="13" ht="25.5" customHeight="1">
      <c r="A13" s="53" t="s">
        <v>137</v>
      </c>
      <c r="B13" s="6" t="s">
        <v>138</v>
      </c>
      <c r="C13" s="6" t="s">
        <v>139</v>
      </c>
      <c r="D13" s="6" t="s">
        <v>140</v>
      </c>
    </row>
    <row r="14" ht="25.5" customHeight="1">
      <c r="A14" s="52" t="s">
        <v>141</v>
      </c>
      <c r="B14" s="7" t="s">
        <v>142</v>
      </c>
      <c r="C14" s="7" t="s">
        <v>143</v>
      </c>
      <c r="D14" s="7" t="s">
        <v>144</v>
      </c>
    </row>
    <row r="15" ht="25.5" customHeight="1">
      <c r="A15" s="53" t="s">
        <v>145</v>
      </c>
      <c r="B15" s="6" t="s">
        <v>146</v>
      </c>
      <c r="C15" s="6" t="s">
        <v>147</v>
      </c>
      <c r="D15" s="6" t="s">
        <v>148</v>
      </c>
    </row>
    <row r="16" ht="25.5" customHeight="1">
      <c r="A16" s="52" t="s">
        <v>149</v>
      </c>
      <c r="B16" s="7" t="s">
        <v>150</v>
      </c>
      <c r="C16" s="7" t="s">
        <v>151</v>
      </c>
      <c r="D16" s="7" t="s">
        <v>152</v>
      </c>
    </row>
    <row r="17" ht="25.5" customHeight="1">
      <c r="A17" s="53" t="s">
        <v>153</v>
      </c>
      <c r="B17" s="6" t="s">
        <v>154</v>
      </c>
      <c r="C17" s="6" t="s">
        <v>155</v>
      </c>
      <c r="D17" s="6" t="s">
        <v>156</v>
      </c>
    </row>
    <row r="19" ht="24.0" customHeight="1">
      <c r="A19" s="4" t="s">
        <v>157</v>
      </c>
      <c r="B19" s="23"/>
      <c r="C19" s="23"/>
      <c r="D19" s="2"/>
    </row>
    <row r="20" ht="21.75" customHeight="1">
      <c r="A20" s="54" t="s">
        <v>158</v>
      </c>
      <c r="B20" s="54" t="s">
        <v>159</v>
      </c>
      <c r="C20" s="54" t="s">
        <v>160</v>
      </c>
      <c r="D20" s="54" t="s">
        <v>161</v>
      </c>
    </row>
    <row r="21" ht="27.75" customHeight="1">
      <c r="A21" s="53" t="s">
        <v>162</v>
      </c>
      <c r="B21" s="53" t="s">
        <v>163</v>
      </c>
      <c r="C21" s="6" t="s">
        <v>164</v>
      </c>
      <c r="D21" s="6" t="s">
        <v>165</v>
      </c>
    </row>
    <row r="22" ht="27.75" customHeight="1">
      <c r="A22" s="52" t="s">
        <v>166</v>
      </c>
      <c r="B22" s="52" t="s">
        <v>167</v>
      </c>
      <c r="C22" s="7" t="s">
        <v>168</v>
      </c>
      <c r="D22" s="7" t="s">
        <v>169</v>
      </c>
    </row>
    <row r="23" ht="27.75" customHeight="1">
      <c r="A23" s="53" t="s">
        <v>170</v>
      </c>
      <c r="B23" s="53" t="s">
        <v>171</v>
      </c>
      <c r="C23" s="6" t="s">
        <v>172</v>
      </c>
      <c r="D23" s="6" t="s">
        <v>173</v>
      </c>
    </row>
    <row r="24" ht="27.75" customHeight="1">
      <c r="A24" s="52" t="s">
        <v>174</v>
      </c>
      <c r="B24" s="52" t="s">
        <v>175</v>
      </c>
      <c r="C24" s="7" t="s">
        <v>176</v>
      </c>
      <c r="D24" s="7" t="s">
        <v>177</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2:D2"/>
    <mergeCell ref="A4:D4"/>
    <mergeCell ref="A6:D6"/>
    <mergeCell ref="C8:D8"/>
    <mergeCell ref="A10:D10"/>
    <mergeCell ref="A19:D19"/>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38.0"/>
    <col customWidth="1" min="3" max="3" width="26.0"/>
    <col customWidth="1" min="4" max="4" width="20.0"/>
    <col customWidth="1" min="5" max="26" width="8.71"/>
  </cols>
  <sheetData>
    <row r="1" ht="37.5" customHeight="1">
      <c r="A1" s="1" t="s">
        <v>178</v>
      </c>
      <c r="B1" s="23"/>
      <c r="C1" s="23"/>
      <c r="D1" s="2"/>
    </row>
    <row r="2" ht="21.75" customHeight="1">
      <c r="A2" s="3" t="s">
        <v>179</v>
      </c>
      <c r="B2" s="23"/>
      <c r="C2" s="23"/>
      <c r="D2" s="2"/>
    </row>
    <row r="4" ht="27.75" customHeight="1">
      <c r="A4" s="22" t="s">
        <v>180</v>
      </c>
      <c r="B4" s="23"/>
      <c r="C4" s="23"/>
      <c r="D4" s="2"/>
    </row>
    <row r="6" ht="24.0" customHeight="1">
      <c r="A6" s="24" t="s">
        <v>181</v>
      </c>
      <c r="B6" s="23"/>
      <c r="C6" s="23"/>
      <c r="D6" s="2"/>
    </row>
    <row r="7" ht="21.75" customHeight="1">
      <c r="A7" s="46" t="s">
        <v>182</v>
      </c>
      <c r="B7" s="46" t="s">
        <v>183</v>
      </c>
      <c r="C7" s="46" t="s">
        <v>184</v>
      </c>
      <c r="D7" s="46" t="s">
        <v>185</v>
      </c>
    </row>
    <row r="8" ht="36.0" customHeight="1">
      <c r="A8" s="5" t="s">
        <v>186</v>
      </c>
      <c r="B8" s="55" t="s">
        <v>187</v>
      </c>
      <c r="C8" s="41" t="s">
        <v>188</v>
      </c>
      <c r="D8" s="56" t="s">
        <v>189</v>
      </c>
    </row>
    <row r="9" ht="36.0" customHeight="1">
      <c r="A9" s="5" t="s">
        <v>190</v>
      </c>
      <c r="B9" s="55" t="s">
        <v>191</v>
      </c>
      <c r="C9" s="40" t="s">
        <v>192</v>
      </c>
      <c r="D9" s="57" t="s">
        <v>189</v>
      </c>
    </row>
    <row r="10" ht="36.0" customHeight="1">
      <c r="A10" s="5" t="s">
        <v>193</v>
      </c>
      <c r="B10" s="55" t="s">
        <v>194</v>
      </c>
      <c r="C10" s="41" t="s">
        <v>195</v>
      </c>
      <c r="D10" s="56" t="s">
        <v>189</v>
      </c>
    </row>
    <row r="11" ht="36.0" customHeight="1">
      <c r="A11" s="5" t="s">
        <v>196</v>
      </c>
      <c r="B11" s="55" t="s">
        <v>197</v>
      </c>
      <c r="C11" s="40" t="s">
        <v>198</v>
      </c>
      <c r="D11" s="57" t="s">
        <v>189</v>
      </c>
    </row>
    <row r="12" ht="36.0" customHeight="1">
      <c r="A12" s="5" t="s">
        <v>199</v>
      </c>
      <c r="B12" s="55" t="s">
        <v>200</v>
      </c>
      <c r="C12" s="41" t="s">
        <v>201</v>
      </c>
      <c r="D12" s="56" t="s">
        <v>189</v>
      </c>
    </row>
    <row r="14" ht="24.0" customHeight="1">
      <c r="A14" s="43" t="s">
        <v>202</v>
      </c>
      <c r="B14" s="23"/>
      <c r="C14" s="23"/>
      <c r="D14" s="2"/>
    </row>
    <row r="15" ht="21.75" customHeight="1">
      <c r="A15" s="46" t="s">
        <v>203</v>
      </c>
      <c r="B15" s="46" t="s">
        <v>183</v>
      </c>
      <c r="C15" s="46" t="s">
        <v>184</v>
      </c>
      <c r="D15" s="46" t="s">
        <v>204</v>
      </c>
    </row>
    <row r="16" ht="36.0" customHeight="1">
      <c r="A16" s="5" t="s">
        <v>205</v>
      </c>
      <c r="B16" s="55" t="str">
        <f>sales[quantity]*related(product[unitprice])</f>
        <v>#ERROR!</v>
      </c>
      <c r="C16" s="41" t="s">
        <v>206</v>
      </c>
      <c r="D16" s="58" t="s">
        <v>207</v>
      </c>
    </row>
    <row r="17" ht="36.0" customHeight="1">
      <c r="A17" s="5" t="s">
        <v>208</v>
      </c>
      <c r="B17" s="55" t="str">
        <f>IF(sales[salesamount]&gt;300,"High","Standard")</f>
        <v>#ERROR!</v>
      </c>
      <c r="C17" s="40" t="s">
        <v>209</v>
      </c>
      <c r="D17" s="58" t="s">
        <v>210</v>
      </c>
    </row>
    <row r="19" ht="27.75" customHeight="1">
      <c r="A19" s="25" t="s">
        <v>211</v>
      </c>
      <c r="B19" s="23"/>
      <c r="C19" s="23"/>
      <c r="D19" s="2"/>
    </row>
    <row r="21" ht="24.0" customHeight="1">
      <c r="A21" s="4" t="s">
        <v>212</v>
      </c>
      <c r="B21" s="23"/>
      <c r="C21" s="23"/>
      <c r="D21" s="2"/>
    </row>
    <row r="22" ht="21.75" customHeight="1">
      <c r="A22" s="46" t="s">
        <v>160</v>
      </c>
      <c r="B22" s="46" t="s">
        <v>213</v>
      </c>
      <c r="C22" s="46" t="s">
        <v>214</v>
      </c>
      <c r="D22" s="46" t="s">
        <v>215</v>
      </c>
    </row>
    <row r="23" ht="27.75" customHeight="1">
      <c r="A23" s="59" t="s">
        <v>216</v>
      </c>
      <c r="B23" s="60">
        <f>SUM(A2:A11)</f>
        <v>0</v>
      </c>
      <c r="C23" s="60" t="s">
        <v>187</v>
      </c>
      <c r="D23" s="40" t="s">
        <v>217</v>
      </c>
    </row>
    <row r="24" ht="27.75" customHeight="1">
      <c r="A24" s="61" t="s">
        <v>218</v>
      </c>
      <c r="B24" s="60">
        <f>SUMIF(C2:C11,"East",F2:F11)</f>
        <v>0</v>
      </c>
      <c r="C24" s="60" t="s">
        <v>219</v>
      </c>
      <c r="D24" s="41" t="s">
        <v>220</v>
      </c>
    </row>
    <row r="25" ht="27.75" customHeight="1">
      <c r="A25" s="59" t="s">
        <v>221</v>
      </c>
      <c r="B25" s="60" t="str">
        <f>VLOOKUP(D2,Product!A:C,3,0)</f>
        <v>#N/A</v>
      </c>
      <c r="C25" s="60" t="str">
        <f>related(product[unitprice])</f>
        <v>#ERROR!</v>
      </c>
      <c r="D25" s="40" t="s">
        <v>222</v>
      </c>
    </row>
    <row r="26" ht="27.75" customHeight="1">
      <c r="A26" s="61" t="s">
        <v>223</v>
      </c>
      <c r="B26" s="60">
        <f>COUNT(A2:A11)</f>
        <v>0</v>
      </c>
      <c r="C26" s="60" t="s">
        <v>194</v>
      </c>
      <c r="D26" s="41" t="s">
        <v>224</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2:D2"/>
    <mergeCell ref="A4:D4"/>
    <mergeCell ref="A6:D6"/>
    <mergeCell ref="A14:D14"/>
    <mergeCell ref="A19:D19"/>
    <mergeCell ref="A21:D21"/>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3" width="18.0"/>
    <col customWidth="1" min="4" max="4" width="4.0"/>
    <col customWidth="1" min="5" max="5" width="55.0"/>
    <col customWidth="1" min="6" max="26" width="8.71"/>
  </cols>
  <sheetData>
    <row r="1" ht="37.5" customHeight="1">
      <c r="A1" s="1" t="s">
        <v>225</v>
      </c>
      <c r="B1" s="23"/>
      <c r="C1" s="2"/>
    </row>
    <row r="2" ht="21.75" customHeight="1">
      <c r="A2" s="3" t="s">
        <v>226</v>
      </c>
      <c r="B2" s="23"/>
      <c r="C2" s="2"/>
    </row>
    <row r="4" ht="27.75" customHeight="1">
      <c r="A4" s="25" t="s">
        <v>227</v>
      </c>
      <c r="B4" s="23"/>
      <c r="C4" s="2"/>
    </row>
    <row r="6" ht="24.0" customHeight="1">
      <c r="A6" s="24" t="s">
        <v>228</v>
      </c>
      <c r="B6" s="23"/>
      <c r="C6" s="2"/>
    </row>
    <row r="7" ht="27.75" customHeight="1">
      <c r="A7" s="62" t="s">
        <v>229</v>
      </c>
      <c r="B7" s="23"/>
      <c r="C7" s="2"/>
    </row>
    <row r="8" ht="24.0" customHeight="1">
      <c r="A8" s="46" t="s">
        <v>81</v>
      </c>
      <c r="B8" s="46" t="s">
        <v>230</v>
      </c>
      <c r="C8" s="46" t="s">
        <v>231</v>
      </c>
      <c r="E8" s="46" t="s">
        <v>232</v>
      </c>
    </row>
    <row r="9" ht="30.0" customHeight="1">
      <c r="A9" s="63" t="s">
        <v>87</v>
      </c>
      <c r="B9" s="39">
        <v>1100.0</v>
      </c>
      <c r="C9" s="39">
        <v>550.0</v>
      </c>
      <c r="E9" s="40" t="s">
        <v>233</v>
      </c>
    </row>
    <row r="10" ht="30.0" customHeight="1">
      <c r="A10" s="64" t="s">
        <v>93</v>
      </c>
      <c r="B10" s="35">
        <v>550.0</v>
      </c>
      <c r="C10" s="35">
        <v>275.0</v>
      </c>
      <c r="E10" s="41" t="s">
        <v>234</v>
      </c>
    </row>
    <row r="11" ht="30.0" customHeight="1">
      <c r="A11" s="63" t="s">
        <v>96</v>
      </c>
      <c r="B11" s="39">
        <v>400.0</v>
      </c>
      <c r="C11" s="39">
        <v>200.0</v>
      </c>
      <c r="E11" s="40" t="s">
        <v>235</v>
      </c>
    </row>
    <row r="12" ht="30.0" customHeight="1">
      <c r="A12" s="64" t="s">
        <v>90</v>
      </c>
      <c r="B12" s="35">
        <v>750.0</v>
      </c>
      <c r="C12" s="35">
        <v>375.0</v>
      </c>
      <c r="E12" s="41" t="s">
        <v>236</v>
      </c>
    </row>
    <row r="13" ht="30.0" customHeight="1">
      <c r="A13" s="8" t="s">
        <v>237</v>
      </c>
      <c r="B13" s="65">
        <v>2800.0</v>
      </c>
      <c r="C13" s="65">
        <v>560.0</v>
      </c>
      <c r="E13" s="40" t="s">
        <v>238</v>
      </c>
    </row>
    <row r="14" ht="30.0" customHeight="1">
      <c r="E14" s="41" t="s">
        <v>239</v>
      </c>
    </row>
    <row r="15" ht="30.0" customHeight="1">
      <c r="A15" s="24" t="s">
        <v>240</v>
      </c>
      <c r="B15" s="23"/>
      <c r="C15" s="2"/>
      <c r="E15" s="40" t="s">
        <v>241</v>
      </c>
    </row>
    <row r="16" ht="27.75" customHeight="1">
      <c r="A16" s="62" t="s">
        <v>242</v>
      </c>
      <c r="B16" s="23"/>
      <c r="C16" s="2"/>
    </row>
    <row r="17" ht="24.0" customHeight="1">
      <c r="A17" s="46" t="s">
        <v>81</v>
      </c>
      <c r="B17" s="46" t="s">
        <v>113</v>
      </c>
      <c r="C17" s="46" t="s">
        <v>115</v>
      </c>
      <c r="D17" s="46" t="s">
        <v>117</v>
      </c>
      <c r="E17" s="46" t="s">
        <v>237</v>
      </c>
    </row>
    <row r="18" ht="21.75" customHeight="1">
      <c r="A18" s="64" t="s">
        <v>87</v>
      </c>
      <c r="B18" s="35">
        <v>200.0</v>
      </c>
      <c r="C18" s="35">
        <v>450.0</v>
      </c>
      <c r="D18" s="35">
        <v>450.0</v>
      </c>
      <c r="E18" s="35">
        <v>1100.0</v>
      </c>
    </row>
    <row r="19" ht="21.75" customHeight="1">
      <c r="A19" s="63" t="s">
        <v>93</v>
      </c>
      <c r="B19" s="39">
        <v>200.0</v>
      </c>
      <c r="C19" s="37" t="s">
        <v>243</v>
      </c>
      <c r="D19" s="39">
        <v>300.0</v>
      </c>
      <c r="E19" s="39">
        <v>550.0</v>
      </c>
    </row>
    <row r="20" ht="21.75" customHeight="1">
      <c r="A20" s="64" t="s">
        <v>96</v>
      </c>
      <c r="B20" s="35">
        <v>100.0</v>
      </c>
      <c r="C20" s="34" t="s">
        <v>243</v>
      </c>
      <c r="D20" s="35">
        <v>300.0</v>
      </c>
      <c r="E20" s="35">
        <v>400.0</v>
      </c>
    </row>
    <row r="21" ht="21.75" customHeight="1">
      <c r="A21" s="63" t="s">
        <v>90</v>
      </c>
      <c r="B21" s="37" t="s">
        <v>243</v>
      </c>
      <c r="C21" s="39">
        <v>450.0</v>
      </c>
      <c r="D21" s="39">
        <v>300.0</v>
      </c>
      <c r="E21" s="39">
        <v>750.0</v>
      </c>
    </row>
    <row r="22" ht="21.75" customHeight="1">
      <c r="A22" s="8" t="s">
        <v>237</v>
      </c>
      <c r="B22" s="65">
        <v>500.0</v>
      </c>
      <c r="C22" s="65">
        <v>900.0</v>
      </c>
      <c r="D22" s="65">
        <v>1350.0</v>
      </c>
      <c r="E22" s="65">
        <v>2800.0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1"/>
    <mergeCell ref="A2:C2"/>
    <mergeCell ref="A4:C4"/>
    <mergeCell ref="A6:C6"/>
    <mergeCell ref="A7:C7"/>
    <mergeCell ref="A15:C15"/>
    <mergeCell ref="A16:C16"/>
  </mergeCells>
  <printOptions/>
  <pageMargins bottom="1.0" footer="0.0" header="0.0" left="0.75" right="0.75" top="1.0"/>
  <pageSetup paperSize="9" orientation="portrait"/>
  <drawing r:id="rId1"/>
</worksheet>
</file>