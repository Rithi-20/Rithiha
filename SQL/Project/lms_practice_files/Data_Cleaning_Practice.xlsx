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5"/>
    <sheet state="visible" name="1 ─ Raw Dataset" sheetId="2" r:id="rId6"/>
    <sheet state="visible" name="2 ─ Remove Duplicates" sheetId="3" r:id="rId7"/>
    <sheet state="visible" name="3 ─ Text to Columns" sheetId="4" r:id="rId8"/>
    <sheet state="visible" name="4 ─ Missing Values" sheetId="5" r:id="rId9"/>
    <sheet state="visible" name="5 ─ Standardisation" sheetId="6" r:id="rId10"/>
    <sheet state="visible" name="6 ─ Capstone Challenge" sheetId="7" r:id="rId11"/>
  </sheets>
  <definedNames/>
  <calcPr/>
</workbook>
</file>

<file path=xl/sharedStrings.xml><?xml version="1.0" encoding="utf-8"?>
<sst xmlns="http://schemas.openxmlformats.org/spreadsheetml/2006/main" count="594" uniqueCount="377">
  <si>
    <t>Data_Cleaning_Practice.xlsx  |  Trainer &amp; Learner Practice Workbook</t>
  </si>
  <si>
    <t>Anudip Foundation — Data Cleaning &amp; Preparation in Excel  |  Complete 120-Minute Session</t>
  </si>
  <si>
    <t>COLOUR LEGEND</t>
  </si>
  <si>
    <t>Yellow label</t>
  </si>
  <si>
    <t>→ Trainer instruction or step label</t>
  </si>
  <si>
    <t>Green cell / text</t>
  </si>
  <si>
    <t>→ Student task or answer area</t>
  </si>
  <si>
    <t>Light blue / stripe</t>
  </si>
  <si>
    <t>→ Pre-filled sample data (do not delete)</t>
  </si>
  <si>
    <t>Red-tinted row</t>
  </si>
  <si>
    <t>→ Deliberately introduced error / issue for cleaning exercises</t>
  </si>
  <si>
    <t>White with border</t>
  </si>
  <si>
    <t>→ Blank student work area — complete the task here</t>
  </si>
  <si>
    <t>Sheet</t>
  </si>
  <si>
    <t>Topic</t>
  </si>
  <si>
    <t>Module</t>
  </si>
  <si>
    <t>Demo Time</t>
  </si>
  <si>
    <t>Exercise Time</t>
  </si>
  <si>
    <t>1 ─ Raw Dataset</t>
  </si>
  <si>
    <t>Original messy data — trainer reference</t>
  </si>
  <si>
    <t>All</t>
  </si>
  <si>
    <t>—</t>
  </si>
  <si>
    <t>2 ─ Remove Duplicates</t>
  </si>
  <si>
    <t>Module 1: Remove Duplicates</t>
  </si>
  <si>
    <t>Mod 1</t>
  </si>
  <si>
    <t>10 min</t>
  </si>
  <si>
    <t>12 min</t>
  </si>
  <si>
    <t>3 ─ Text to Columns</t>
  </si>
  <si>
    <t>Module 2: Text to Columns</t>
  </si>
  <si>
    <t>Mod 2</t>
  </si>
  <si>
    <t>8 min</t>
  </si>
  <si>
    <t>4 ─ Missing Values</t>
  </si>
  <si>
    <t>Module 3: Handling Missing Values</t>
  </si>
  <si>
    <t>Mod 3</t>
  </si>
  <si>
    <t>7 min</t>
  </si>
  <si>
    <t>5 ─ Standardisation</t>
  </si>
  <si>
    <t>Module 4: Standardisation &amp; Consistency</t>
  </si>
  <si>
    <t>Mod 4</t>
  </si>
  <si>
    <t>5 min</t>
  </si>
  <si>
    <t>6 ─ Capstone Challenge</t>
  </si>
  <si>
    <t>Full 4-step workflow on a new dataset</t>
  </si>
  <si>
    <t>15 min</t>
  </si>
  <si>
    <t>SHEET 1: Raw Dataset — The Starting Point</t>
  </si>
  <si>
    <t>This is the original messy dataset. All four modules work on this data. Issues are flagged in the last column.</t>
  </si>
  <si>
    <t>📊  ORIGINAL DATASET — 6 rows (including 1 deliberate duplicate). Issues marked in red.</t>
  </si>
  <si>
    <t>Emp_ID</t>
  </si>
  <si>
    <t>Full_Name</t>
  </si>
  <si>
    <t>Department</t>
  </si>
  <si>
    <t>Salary</t>
  </si>
  <si>
    <t>Location</t>
  </si>
  <si>
    <t>Product_Code</t>
  </si>
  <si>
    <t>Issue / Flag</t>
  </si>
  <si>
    <t>Rahul Sharma</t>
  </si>
  <si>
    <t>IT</t>
  </si>
  <si>
    <t>Kolkata, WB</t>
  </si>
  <si>
    <t>PROD-2024-WB-001</t>
  </si>
  <si>
    <t>Priya Singh</t>
  </si>
  <si>
    <t>HR</t>
  </si>
  <si>
    <t>Mumbai, MH</t>
  </si>
  <si>
    <t>PROD-2023-MH-002</t>
  </si>
  <si>
    <t>Missing Salary</t>
  </si>
  <si>
    <t>⚠ FULL DUPLICATE of Row 1</t>
  </si>
  <si>
    <t>anita roy</t>
  </si>
  <si>
    <t>FINANCE</t>
  </si>
  <si>
    <t>Delhi, DL</t>
  </si>
  <si>
    <t>PROD-2024-DL-003</t>
  </si>
  <si>
    <t>Case: all lowercase</t>
  </si>
  <si>
    <t>SURESH  Kumar</t>
  </si>
  <si>
    <t>it</t>
  </si>
  <si>
    <t>Pune, MH</t>
  </si>
  <si>
    <t>PROD-2023-MH-004</t>
  </si>
  <si>
    <t>Extra space + mixed case + blank Salary</t>
  </si>
  <si>
    <t>Meena Joshi</t>
  </si>
  <si>
    <t>Chennai, TN</t>
  </si>
  <si>
    <t>PROD-2024-TN-005</t>
  </si>
  <si>
    <t>📋  ISSUE SUMMARY — What needs to be fixed and which module fixes it</t>
  </si>
  <si>
    <t>Issue</t>
  </si>
  <si>
    <t>Column Affected</t>
  </si>
  <si>
    <t>Example</t>
  </si>
  <si>
    <t>Fixed In</t>
  </si>
  <si>
    <t>Full duplicate row</t>
  </si>
  <si>
    <t>All columns</t>
  </si>
  <si>
    <t>Row 3 = exact copy of Row 1 (Emp_ID 101)</t>
  </si>
  <si>
    <t>Module 1 — Remove Duplicates</t>
  </si>
  <si>
    <t>Missing numerical values</t>
  </si>
  <si>
    <t>Salary (Col D)</t>
  </si>
  <si>
    <t>Rows 102 and 104 have blank Salary</t>
  </si>
  <si>
    <t>Module 3 — Missing Values</t>
  </si>
  <si>
    <t>Combined data in one cell</t>
  </si>
  <si>
    <t>Location (Col E)</t>
  </si>
  <si>
    <t>'Kolkata, WB' — City and State in one column</t>
  </si>
  <si>
    <t>Module 2 — Text to Columns</t>
  </si>
  <si>
    <t>Structured code to be parsed</t>
  </si>
  <si>
    <t>Product_Code (F)</t>
  </si>
  <si>
    <t>'PROD-2024-WB-001' — 4 parts in one field</t>
  </si>
  <si>
    <t>All lowercase name</t>
  </si>
  <si>
    <t>Full_Name (B)</t>
  </si>
  <si>
    <t>'anita roy' should be 'Anita Roy'</t>
  </si>
  <si>
    <t>Module 4 — Standardisation</t>
  </si>
  <si>
    <t>Mixed case + extra space</t>
  </si>
  <si>
    <t>'SURESH  Kumar' — double space + wrong case</t>
  </si>
  <si>
    <t>Inconsistent dept casing</t>
  </si>
  <si>
    <t>Department (C)</t>
  </si>
  <si>
    <t>'it' vs 'IT' and 'FINANCE' vs 'Finance'</t>
  </si>
  <si>
    <t>SHEET 2: Module 1 — Remove Duplicates  |  Trainer Demo + Guided Exercise</t>
  </si>
  <si>
    <t>The duplicate row is highlighted in red. Follow steps to back up, run Remove Duplicates, and verify.</t>
  </si>
  <si>
    <t>🟡  TRAINER DEMO AREA — Run the demo live on this dataset. Row 3 is the deliberate full duplicate.</t>
  </si>
  <si>
    <t>📋  REMOVE DUPLICATES — STEP-BY-STEP REFERENCE (for trainer use)</t>
  </si>
  <si>
    <t>Step 1 — BACKUP FIRST:</t>
  </si>
  <si>
    <t>Right-click sheet tab → Move or Copy → check 'Create a copy' → OK → rename copy 'Raw_Data'. EVERY TIME.</t>
  </si>
  <si>
    <t>Step 2 — Select Data:</t>
  </si>
  <si>
    <t>Click any cell in the dataset → press Ctrl+A to select all data including headers.</t>
  </si>
  <si>
    <t>Step 3 — Open Tool:</t>
  </si>
  <si>
    <t>Data tab → Data Tools group → Remove Duplicates.</t>
  </si>
  <si>
    <t>Step 4 — Check Dialog:</t>
  </si>
  <si>
    <t>Ensure 'My data has headers' is CHECKED. Select ALL columns for full duplicate detection.</t>
  </si>
  <si>
    <t>Step 5 — Run &amp; Read Message:</t>
  </si>
  <si>
    <t>Click OK. Read the message: '1 duplicate found and removed. 5 unique values remain.'</t>
  </si>
  <si>
    <t>Step 6 — Verify:</t>
  </si>
  <si>
    <t>Confirm Row 3 (Emp_ID 101 duplicate) is gone. Compare with Raw_Data backup sheet.</t>
  </si>
  <si>
    <t>Step 7 — Partial Demo:</t>
  </si>
  <si>
    <t>Undo (Ctrl+Z). Run again with ONLY Emp_ID checked. Discuss: when would you use this in real data?</t>
  </si>
  <si>
    <t>🟢  STUDENT EXERCISE — Follow the steps above on your own copy of the dataset</t>
  </si>
  <si>
    <t>Part A — Full Duplicate (8 min):</t>
  </si>
  <si>
    <t>1. Create a backup: right-click tab → Move or Copy → Create a copy → rename it 'Raw_Data'. 2. Click any cell in rows 24-30. 3. Data → Remove Duplicates. 4. 'My data has headers' = CHECKED. All columns checked. 5. Click OK. Note the message below:</t>
  </si>
  <si>
    <t>Your Result (write here):</t>
  </si>
  <si>
    <t>Duplicates removed: ___   |   Unique rows remaining: ___   |   Which row was deleted? ___</t>
  </si>
  <si>
    <t>Part B — Partial Duplicate (4 min):</t>
  </si>
  <si>
    <t>Undo (Ctrl+Z). Run Remove Duplicates again checking ONLY Emp_ID column. Result: ___  Is it the same or different? Why?</t>
  </si>
  <si>
    <t>Bonus Question:</t>
  </si>
  <si>
    <t>Two employees have the same name but different Emp_IDs. You run Remove Duplicates with ALL columns checked. Will any row be removed? Explain why: ___</t>
  </si>
  <si>
    <t>💡 TRAINER TIP: Before learners click OK, walk around and check: (1) backup created? (2) 'My data has headers' checked? (3) entire range selected (not just partial)?</t>
  </si>
  <si>
    <t>📐  FULL vs PARTIAL DUPLICATE — Quick Comparison (NEW example from reviewer feedback)</t>
  </si>
  <si>
    <t>Scenario</t>
  </si>
  <si>
    <t>Row A</t>
  </si>
  <si>
    <t>Row B</t>
  </si>
  <si>
    <t>All Columns Checked</t>
  </si>
  <si>
    <t>Only Emp_ID Checked</t>
  </si>
  <si>
    <t>Full Duplicate</t>
  </si>
  <si>
    <t>Emp 101 | Rahul Sharma | IT | 45000</t>
  </si>
  <si>
    <t>One row REMOVED (exact match)</t>
  </si>
  <si>
    <t>One row REMOVED</t>
  </si>
  <si>
    <t>Partial Duplicate</t>
  </si>
  <si>
    <t>Emp 101 | Rahul Sharma | IT | 48000</t>
  </si>
  <si>
    <t>NO row removed (salary differs)</t>
  </si>
  <si>
    <t>One row REMOVED — risk of losing valid data!</t>
  </si>
  <si>
    <t>SHEET 3: Module 2 — Text to Columns  |  Trainer Demo + Guided Exercise</t>
  </si>
  <si>
    <t>Split Location (comma), Full_Name (space), and Product_Code (hyphen) into separate usable columns.</t>
  </si>
  <si>
    <t>🟡  TRAINER DEMO AREA — Demo Section A: Split Location | Section B: Product Code</t>
  </si>
  <si>
    <t>← INSERT BLANK COLS HERE →</t>
  </si>
  <si>
    <t>← student work area</t>
  </si>
  <si>
    <t>📋  STEP-BY-STEP REFERENCE — Three Demos (Location / Full_Name / Product_Code)</t>
  </si>
  <si>
    <t>DEMO A — Location (Comma):</t>
  </si>
  <si>
    <t>1. Insert 2 blank cols to right of Location. Label 'City' and 'State'. 2. Select Location data ONLY (no header). 3. Data → Text to Columns → Delimited → Next. 4. Check COMMA. Review Data Preview. 5. Finish. Verify City and State appear. Note leading space before state codes.</t>
  </si>
  <si>
    <t>DEMO B — Full_Name (Space):</t>
  </si>
  <si>
    <t>1. Insert 2 blank cols to right of Full_Name. Label 'First_Name' and 'Last_Name'. 2. Select Full_Name data. 3. Text to Columns → Delimited → Space → Finish. 4. Check SURESH  Kumar — does an extra blank column appear due to double space?</t>
  </si>
  <si>
    <t>DEMO C — Product_Code (-):</t>
  </si>
  <si>
    <t>1. Insert 4 blank cols to right of Product_Code. 2. Select Product_Code data. 3. Text to Columns → Delimited → Other, type - → Finish. 4. Result: 4 columns — PROD | YYYY | ST | ###. Point out: this works for ANY business code format in any organisation.</t>
  </si>
  <si>
    <t>🟢  STUDENT EXERCISE — Complete all three split tasks on the data below</t>
  </si>
  <si>
    <t>← Split Location</t>
  </si>
  <si>
    <t>← Split Product Code</t>
  </si>
  <si>
    <t>Task 1 — Location Split:</t>
  </si>
  <si>
    <t>Insert 2 blank columns after Location (col E). Select E21:E25. Data → Text to Columns → Comma delimiter → Finish. Do City and State appear correctly? Is there a leading space in the State column?</t>
  </si>
  <si>
    <t>Task 2 — Product Code Split:</t>
  </si>
  <si>
    <t>Insert 4 blank columns after Product_Code (col H). Select H21:H25. Text to Columns → Other delimiter: type - → Finish. How many columns result? What does each column represent?</t>
  </si>
  <si>
    <t>Your Observations (write here):</t>
  </si>
  <si>
    <t>Location result — Leading space present? Yes / No.  Product Code columns: Col 1:___ Col 2:___ Col 3:___ Col 4:___</t>
  </si>
  <si>
    <t>Bonus Task:</t>
  </si>
  <si>
    <t>In an empty cell, type: PROD-2024-WB-001 then apply Text to Columns with hyphen (-). Confirm 4 columns: PROD | 2024 | WB | 001.</t>
  </si>
  <si>
    <t>⚠  CRITICAL REMINDER: Insert blank columns BEFORE running Text to Columns. The tool writes output into adjacent cells and WILL overwrite existing data without any warning.</t>
  </si>
  <si>
    <t>💡 TRAINER TIP: Before learners click Finish — ask them to read the Data Preview aloud. This confirms the split looks correct before it is applied. Make this a habit.</t>
  </si>
  <si>
    <t>SHEET 4: Module 3 — Handling Missing Values  |  Trainer Demo + Guided Exercise</t>
  </si>
  <si>
    <t>Identify blanks with Ctrl+G Special. Apply the 4-question framework. Fill using IF+AVERAGE or IF+MEDIAN.</t>
  </si>
  <si>
    <t>📐  THE 4-QUESTION DECISION FRAMEWORK — Write this on the whiteboard during Module 3</t>
  </si>
  <si>
    <t>Step</t>
  </si>
  <si>
    <t>Question</t>
  </si>
  <si>
    <t>Salary Column Answer</t>
  </si>
  <si>
    <t>Method to Apply</t>
  </si>
  <si>
    <t>1 — IDENTIFY</t>
  </si>
  <si>
    <t>Find all blank cells (Ctrl+G → Special → Blanks)</t>
  </si>
  <si>
    <t>D5 and D7 are blank</t>
  </si>
  <si>
    <t>Ctrl+G → Special → Blanks highlights them</t>
  </si>
  <si>
    <t>2 — UNDERSTAND</t>
  </si>
  <si>
    <t>WHY is the value missing?</t>
  </si>
  <si>
    <t>Salary is UNKNOWN — not zero</t>
  </si>
  <si>
    <t>Cannot fill with 0</t>
  </si>
  <si>
    <t>3 — CHOOSE</t>
  </si>
  <si>
    <t>Numerical or categorical? Any outliers?</t>
  </si>
  <si>
    <t>Numerical. No extreme outliers here</t>
  </si>
  <si>
    <t>Use AVERAGE (no outliers). Use MEDIAN if outliers exist.</t>
  </si>
  <si>
    <t>4 — APPLY</t>
  </si>
  <si>
    <t>Apply formula in a HELPER COLUMN — never overwrite raw data</t>
  </si>
  <si>
    <t>IF(D14="",AVERAGE($D$14:$D$18),D14)</t>
  </si>
  <si>
    <t>Create Salary_Cleaned in column H</t>
  </si>
  <si>
    <t>🟡  TRAINER DEMO + 🟢  STUDENT EXERCISE — Identify and fill missing Salary values</t>
  </si>
  <si>
    <t>Dept</t>
  </si>
  <si>
    <t>Salary
(Original)</t>
  </si>
  <si>
    <t>Due Date</t>
  </si>
  <si>
    <t>Salary_Cleaned
=IF(D,AVG,D)</t>
  </si>
  <si>
    <t>Salary_Median
=IF(D,MED,D)</t>
  </si>
  <si>
    <t>Dept_Filled
(Ctrl+H)</t>
  </si>
  <si>
    <t>📐  FORMULA REFERENCE — The two filling formulas explained</t>
  </si>
  <si>
    <t>IF Salary is blank → fill with AVERAGE of all Salary values. ELSE → keep original. $ signs lock the range so it does not shift when dragged down.</t>
  </si>
  <si>
    <t>Same logic but uses MEDIAN. Use this when the dataset has extreme outlier values that would distort the AVERAGE. MEDIAN is resistant to extremes.</t>
  </si>
  <si>
    <t>Find &amp; Replace (Ctrl+H)</t>
  </si>
  <si>
    <t>Find what: [leave empty]. Replace with: Not Available. Click Replace All. IMPORTANT: always select the specific column first, or ALL blanks on the entire sheet will be filled.</t>
  </si>
  <si>
    <t>💡  MEAN vs MEDIAN COMPARISON — Use this during the demo to show why Median matters (per reviewer feedback)</t>
  </si>
  <si>
    <t>Value 1</t>
  </si>
  <si>
    <t>Value 2</t>
  </si>
  <si>
    <t>Value 3</t>
  </si>
  <si>
    <t>Value 4 (Outlier)</t>
  </si>
  <si>
    <t>MEAN Result</t>
  </si>
  <si>
    <t>MEDIAN Result</t>
  </si>
  <si>
    <t>Fill the blank with...</t>
  </si>
  <si>
    <t>Why?</t>
  </si>
  <si>
    <t>Either works</t>
  </si>
  <si>
    <t>No extreme outliers — both methods are close</t>
  </si>
  <si>
    <t>MEDIAN</t>
  </si>
  <si>
    <t>Outlier 9,50,000 makes MEAN = 2,65,750 — unrealistic. MEDIAN stays near 39,000.</t>
  </si>
  <si>
    <t>💡 TRAINER TIP: Ask learners: 'If you were filling a missing salary in Row 30, would you use the MEAN of 2,65,750 or the MEDIAN of 39,000? Which is more realistic?' — This connects the formula choice to real-world judgment.</t>
  </si>
  <si>
    <t>🟢  STUDENT EXERCISE — Follow these steps on the dataset in rows 13–18</t>
  </si>
  <si>
    <t>Step 1 — Identify Blanks:</t>
  </si>
  <si>
    <t>Select the entire data range (A13:J18). Press Ctrl+G → Special → Blanks → OK. Which cells highlight? Write the cell addresses here: ___</t>
  </si>
  <si>
    <t>Step 2 — Apply Framework:</t>
  </si>
  <si>
    <t>Answer the 4 questions for the Salary column: (1) IDENTIFY: blanks in D___ and D___. (2) UNDERSTAND: blank means salary is ___. (3) CHOOSE: outliers? ___ Method: ___. (4) APPLY: formula below.</t>
  </si>
  <si>
    <t>Step 3 — IF+AVERAGE Formula:</t>
  </si>
  <si>
    <t>In cell G14, type: =IF(D14="",AVERAGE($D$14:$D$18),D14) — then drag down to G18. What values appear in G15 and G17? ___</t>
  </si>
  <si>
    <t>Step 4 — IF+MEDIAN Formula:</t>
  </si>
  <si>
    <t>In cell H14, type: =IF(D14="",MEDIAN($D$14:$D$18),D14) — drag to H18. Are G and H different for this dataset? Why or why not? ___</t>
  </si>
  <si>
    <t>Step 5 — Ctrl+H for Text Blank:</t>
  </si>
  <si>
    <t>Select column C (Dept) only. Press Ctrl+H. Find what: leave empty. Replace with: Not Assigned. Click Replace All. How many replacements? ___  Undo (Ctrl+Z) to restore.</t>
  </si>
  <si>
    <t>CONFIRM WITH TRAINER:</t>
  </si>
  <si>
    <t>Show: (1) blank cells highlighted by Ctrl+G. (2) G15 and G17 showing filled values. (3) Formula bar showing the IF formula — not just the number.</t>
  </si>
  <si>
    <t>SHEET 5: Module 4 — Standardisation &amp; Consistency  |  Trainer Demo + Guided Exercise</t>
  </si>
  <si>
    <t>Fix case inconsistencies and extra spaces using TRIM, PROPER, UPPER, CLEAN. Use Paste Special to make permanent.</t>
  </si>
  <si>
    <t>📐  STANDARDISATION FORMULA TOOLKIT — Before &amp; After Examples (per reviewer feedback)</t>
  </si>
  <si>
    <t>Formula</t>
  </si>
  <si>
    <t>Purpose</t>
  </si>
  <si>
    <t>Input (Before)</t>
  </si>
  <si>
    <t>Output (After)</t>
  </si>
  <si>
    <t>Best Used For</t>
  </si>
  <si>
    <t>All uppercase</t>
  </si>
  <si>
    <t>"anita roy"</t>
  </si>
  <si>
    <t>"ANITA ROY"</t>
  </si>
  <si>
    <t>Codes, IDs, dept abbreviations</t>
  </si>
  <si>
    <t>All lowercase</t>
  </si>
  <si>
    <t>"RAHUL SHARMA"</t>
  </si>
  <si>
    <t>"rahul sharma"</t>
  </si>
  <si>
    <t>Pre-processing before PROPER</t>
  </si>
  <si>
    <t>First letter capitalised each word</t>
  </si>
  <si>
    <t>"Anita Roy"</t>
  </si>
  <si>
    <t>Person names, city names</t>
  </si>
  <si>
    <t>Remove extra spaces</t>
  </si>
  <si>
    <t>"  SURESH  Kumar  "</t>
  </si>
  <si>
    <t>"SURESH Kumar"</t>
  </si>
  <si>
    <t>ALL imported text columns — always first</t>
  </si>
  <si>
    <t>Remove invisible characters</t>
  </si>
  <si>
    <t>imported messy cell</t>
  </si>
  <si>
    <t>clean readable text</t>
  </si>
  <si>
    <t>Data from mainframes, PDFs, web exports</t>
  </si>
  <si>
    <t>Spaces + proper case — BEST for names</t>
  </si>
  <si>
    <t>"  suresh  kumar  "</t>
  </si>
  <si>
    <t>"Suresh Kumar"</t>
  </si>
  <si>
    <t>Full Name columns from any source</t>
  </si>
  <si>
    <t>Spaces + uppercase — BEST for codes</t>
  </si>
  <si>
    <t>" it "</t>
  </si>
  <si>
    <t>"IT"</t>
  </si>
  <si>
    <t>Department, status, code columns</t>
  </si>
  <si>
    <t>Hidden chars + spaces — BEST for imports</t>
  </si>
  <si>
    <t>imported cell</t>
  </si>
  <si>
    <t>clean trimmed text</t>
  </si>
  <si>
    <t>Any data imported from external systems</t>
  </si>
  <si>
    <t>🟡  TRAINER DEMO + 🟢  STUDENT EXERCISE — Clean the dataset below using helper columns</t>
  </si>
  <si>
    <t>Full_Name
(original)</t>
  </si>
  <si>
    <t>Dept
(original)</t>
  </si>
  <si>
    <t>State
(original)</t>
  </si>
  <si>
    <t>Name_Cleaned
=PROPER(TRIM(B))</t>
  </si>
  <si>
    <t>Dept_Cleaned
=UPPER(TRIM(C))</t>
  </si>
  <si>
    <t>State_Clean
=TRIM(E)</t>
  </si>
  <si>
    <t>✅ Paste
Values?</t>
  </si>
  <si>
    <t>WB</t>
  </si>
  <si>
    <t xml:space="preserve"> MH</t>
  </si>
  <si>
    <t>DL</t>
  </si>
  <si>
    <t>TN</t>
  </si>
  <si>
    <t>📋  PASTE SPECIAL → VALUES — Making Cleaned Data Permanent (Critical Step!)</t>
  </si>
  <si>
    <t>Step 1 — Copy Helper Column:</t>
  </si>
  <si>
    <t>Select cells F18:F22 (Name_Cleaned). Press Ctrl+C. A marching-ants border appears around the selection.</t>
  </si>
  <si>
    <t>Step 2 — Paste Special:</t>
  </si>
  <si>
    <t>Click cell B18 (the original Full_Name column). Press Ctrl+Alt+V. The Paste Special dialog opens.</t>
  </si>
  <si>
    <t>Step 3 — Select Values:</t>
  </si>
  <si>
    <t>In Paste Special, select 'Values' (NOT 'All'). Click OK. Press Escape to clear clipboard.</t>
  </si>
  <si>
    <t>Step 4 — Verify:</t>
  </si>
  <si>
    <t>Click any cell in column B. Look at the Formula Bar — it should show plain text, NOT a formula. If you see =PROPER(TRIM(B18)) — you pasted formulas, not values. Try again.</t>
  </si>
  <si>
    <t>Step 5 — Delete Helper:</t>
  </si>
  <si>
    <t>Only AFTER verifying column B has plain text values — then delete column F (helper). Never delete the original before pasting values or formulas break.</t>
  </si>
  <si>
    <t>WHY THIS ORDER MATTERS:</t>
  </si>
  <si>
    <t>The helper column REFERENCES the original column. Always follow the order: Copy helper → Paste Special Values onto original → THEN delete helper column.</t>
  </si>
  <si>
    <t>🟢  STUDENT EXERCISE — Standardise, verify, then make permanent with Paste Special</t>
  </si>
  <si>
    <t>Part A — Name Column:</t>
  </si>
  <si>
    <t>In column F, verify the =PROPER(TRIM()) formula is correct. Check F20 should show 'Anita Roy', F21 should show 'Suresh Kumar'. Does your output match?</t>
  </si>
  <si>
    <t>Part B — Department Column:</t>
  </si>
  <si>
    <t>In column G, verify =UPPER(TRIM()) formula. G21 should show 'IT' (was 'it'). Now use Find &amp; Replace (Ctrl+H): Find 'FINANCE' → Replace 'Finance' in the original column C.</t>
  </si>
  <si>
    <t>Part C — State Column:</t>
  </si>
  <si>
    <t>Column E has ' MH' with a leading space in rows 19 and 21. Column H formula =TRIM(E) removes it. Verify H19 and H21 show 'MH' without the space.</t>
  </si>
  <si>
    <t>Part D — Paste Special:</t>
  </si>
  <si>
    <t>Apply Paste Special → Values on the Name column. Sequence: Select F18:F22 → Ctrl+C → Click B18 → Ctrl+Alt+V → Values → OK. Delete column F. Verify column B shows plain text.</t>
  </si>
  <si>
    <t>Show: (1) F20 = 'Anita Roy', F21 = 'Suresh Kumar'. (2) After Paste Special, B18's Formula Bar shows plain text, not a formula. (3) Helper column F successfully deleted.</t>
  </si>
  <si>
    <t>⚠  COMMON ERROR: Applying =PROPER(A1) to a department like 'HR' gives 'Hr' — which is WRONG for an abbreviation. Always use =UPPER() for codes, IDs, and abbreviations. Use =PROPER() only for proper nouns (names, cities).</t>
  </si>
  <si>
    <t>SHEET 6: Capstone Challenge — Apply the Complete 4-Step Cleaning Workflow</t>
  </si>
  <si>
    <t>A new messy dataset with ALL FOUR types of issues. Apply Remove Duplicates → Text to Columns → Missing Values → Standardise.</t>
  </si>
  <si>
    <t>📋  SCENARIO: Your manager sends you this raw HR export. Clean it completely using all four steps.</t>
  </si>
  <si>
    <t>Annual_Bonus</t>
  </si>
  <si>
    <t>Full_Address</t>
  </si>
  <si>
    <t>Reporting_Manager</t>
  </si>
  <si>
    <t>Product_Ref</t>
  </si>
  <si>
    <t>Issue Present</t>
  </si>
  <si>
    <t>Aisha Khan</t>
  </si>
  <si>
    <t>Sales</t>
  </si>
  <si>
    <t>Flat 4, Sector 12, Noida, UP</t>
  </si>
  <si>
    <t>PRIYA SINGH</t>
  </si>
  <si>
    <t>REF-2024-UP-001</t>
  </si>
  <si>
    <t>robert mathews</t>
  </si>
  <si>
    <t>MARKETING</t>
  </si>
  <si>
    <t>B-12, Park Street, Kolkata, WB</t>
  </si>
  <si>
    <t>REF-2023-WB-002</t>
  </si>
  <si>
    <t>Lowercase name + blank bonus</t>
  </si>
  <si>
    <t>DUPLICATE of Row 1</t>
  </si>
  <si>
    <t>VIJAY  Sharma</t>
  </si>
  <si>
    <t>C-3, MG Road, Bengaluru, KA</t>
  </si>
  <si>
    <t>priya singh</t>
  </si>
  <si>
    <t>REF-2024-KA-003</t>
  </si>
  <si>
    <t>Extra space + dept lowercase</t>
  </si>
  <si>
    <t>Meena Pillai</t>
  </si>
  <si>
    <t>Finance</t>
  </si>
  <si>
    <t>22, Anna Salai, Chennai, TN</t>
  </si>
  <si>
    <t>REF-2024-TN-004</t>
  </si>
  <si>
    <t>Blank bonus</t>
  </si>
  <si>
    <t>RITU DESAI</t>
  </si>
  <si>
    <t>SALES</t>
  </si>
  <si>
    <t>Plot 9, MIDC, Pune, MH</t>
  </si>
  <si>
    <t>REF-2023-MH-005</t>
  </si>
  <si>
    <t>All uppercase name</t>
  </si>
  <si>
    <t>anand nair</t>
  </si>
  <si>
    <t>hr</t>
  </si>
  <si>
    <t>D-Wing, Juhu, Mumbai, MH</t>
  </si>
  <si>
    <t>REF-2024-MH-006</t>
  </si>
  <si>
    <t>Lowercase name + dept + blank bonus</t>
  </si>
  <si>
    <t>Priya Joshi</t>
  </si>
  <si>
    <t>T-7, DLF City, Gurugram, HR</t>
  </si>
  <si>
    <t>REF-2024-HR-007</t>
  </si>
  <si>
    <t>KAVITA NAIR</t>
  </si>
  <si>
    <t>Marketing</t>
  </si>
  <si>
    <t>15A, Residency Rd, Hyderabad, TG</t>
  </si>
  <si>
    <t>REF-2023-TG-008</t>
  </si>
  <si>
    <t>All uppercase + blank bonus</t>
  </si>
  <si>
    <t>Suresh Krishnan</t>
  </si>
  <si>
    <t>House 33, Sector 5, Noida, UP</t>
  </si>
  <si>
    <t>REF-2024-UP-009</t>
  </si>
  <si>
    <t>🟢  STUDENT EXERCISE — Apply ALL 4 steps in the correct sequence. Write your steps below.</t>
  </si>
  <si>
    <t>Step 1 — Remove Duplicates:</t>
  </si>
  <si>
    <t>Backup first. Run Data → Remove Duplicates on this dataset with ALL columns checked. How many rows are removed? Which row? ___ Remaining rows: ___</t>
  </si>
  <si>
    <t>Step 2 — Text to Columns (Address):</t>
  </si>
  <si>
    <t>The Full_Address column has 'City, State' at the end. Insert blank columns to the right. Split Full_Address by comma. How many columns result? What does each contain? ___</t>
  </si>
  <si>
    <t>Step 3 — Text to Columns (Product_Ref):</t>
  </si>
  <si>
    <t>Split Product_Ref by hyphen (-). How many parts? ___ What does each part represent? Part 1:___ Part 2:___ Part 3:___ Part 4:___</t>
  </si>
  <si>
    <t>Step 4 — Handle Missing Values:</t>
  </si>
  <si>
    <t>Annual_Bonus column has 4 blank cells. Apply the 4-question framework: IDENTIFY: blanks in rows ___. UNDERSTAND: blank = unknown bonus, not zero. CHOOSE: any outliers? Use AVERAGE / MEDIAN (circle one). APPLY: write the formula here: ___</t>
  </si>
  <si>
    <t>Step 5 — Standardise (Names):</t>
  </si>
  <si>
    <t>Full_Name column has mixed case issues. In a helper column, write the formula: ___. Expected outputs: 'robert mathews' → ___, 'VIJAY  Sharma' → ___, 'RITU DESAI' → ___</t>
  </si>
  <si>
    <t>Step 6 — Standardise (Dept + Manager):</t>
  </si>
  <si>
    <t>Department has 'it', 'SALES', 'MARKETING'. Write formula for dept: ___. Reporting_Manager has 'PRIYA SINGH', 'priya singh', 'Priya Singh'. Which formula gives 'Priya Singh'? ___</t>
  </si>
  <si>
    <t>Step 7 — Paste Special:</t>
  </si>
  <si>
    <t>After verifying all helper columns are correct, apply Paste Special → Values to replace each original column. DELETE helper columns. Confirm Formula Bar shows plain text for each cleaned cell.</t>
  </si>
  <si>
    <t>BEFORE / AFTER SUMMARY (complete this):</t>
  </si>
  <si>
    <t>Original rows: 10 | After Remove Duplicates: ___ | Columns added by Text to Columns: ___ | Blanks filled in Annual_Bonus: ___ | Standardised columns: ___</t>
  </si>
  <si>
    <t>💡 TRAINER TIP — Capstone debrief: Ask 2-3 learners to share their approach for Step 4 (Missing Values). The key discussion point: was any student tempted to fill with 0? Why is that wrong here? (blank = unknown, not zero).</t>
  </si>
  <si>
    <t>⭐  ADVANCED BONUS: In the Reporting_Manager column, all three variations ('PRIYA SINGH', 'priya singh', 'Priya Singh') represent the same person. Write a single formula that normalises ALL three to 'Priya Singh': =PROPER(TRIM(F6)). Apply it as a helper column, verify, then Paste Special Values.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</si>
</sst>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2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10.0"/>
      <color rgb="FFFFFFFF"/>
      <name val="Arial"/>
    </font>
    <font>
      <b/>
      <sz val="10.0"/>
      <color rgb="FFFFFFFF"/>
      <name val="Arial"/>
    </font>
    <font>
      <sz val="10.0"/>
      <color rgb="FF92400E"/>
      <name val="Arial"/>
    </font>
    <font>
      <sz val="10.0"/>
      <color rgb="FF15803D"/>
      <name val="Arial"/>
    </font>
    <font>
      <sz val="10.0"/>
      <color rgb="FF000000"/>
      <name val="Arial"/>
    </font>
    <font>
      <sz val="10.0"/>
      <color rgb="FFB91C1C"/>
      <name val="Arial"/>
    </font>
    <font>
      <b/>
      <sz val="11.0"/>
      <color rgb="FFFFFFFF"/>
      <name val="Arial"/>
    </font>
    <font>
      <sz val="9.0"/>
      <color rgb="FF888888"/>
      <name val="Arial"/>
    </font>
    <font>
      <sz val="9.0"/>
      <color rgb="FFB91C1C"/>
      <name val="Arial"/>
    </font>
    <font>
      <sz val="9.0"/>
      <color rgb="FF000000"/>
      <name val="Arial"/>
    </font>
    <font>
      <b/>
      <sz val="9.0"/>
      <color rgb="FF92400E"/>
      <name val="Arial"/>
    </font>
    <font>
      <sz val="9.0"/>
      <color rgb="FF15803D"/>
      <name val="Arial"/>
    </font>
    <font>
      <i/>
      <sz val="9.0"/>
      <color rgb="FF92400E"/>
      <name val="Arial"/>
    </font>
    <font>
      <b/>
      <sz val="9.0"/>
      <color rgb="FFB91C1C"/>
      <name val="Arial"/>
    </font>
    <font>
      <b/>
      <sz val="9.0"/>
      <color rgb="FFFFFFFF"/>
      <name val="Arial"/>
    </font>
    <font>
      <i/>
      <sz val="8.0"/>
      <color rgb="FF92400E"/>
      <name val="Arial"/>
    </font>
    <font>
      <i/>
      <sz val="9.0"/>
      <color rgb="FFB91C1C"/>
      <name val="Arial"/>
    </font>
    <font>
      <b/>
      <sz val="9.0"/>
      <color rgb="FF000000"/>
      <name val="Arial"/>
    </font>
    <font>
      <sz val="9.0"/>
      <color rgb="FF1D4ED8"/>
      <name val="Arial"/>
    </font>
    <font>
      <i/>
      <sz val="9.0"/>
      <color rgb="FF1D4ED8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563EB"/>
        <bgColor rgb="FF2563EB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0F4F8"/>
        <bgColor rgb="FFF0F4F8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3D5A80"/>
        <bgColor rgb="FF3D5A80"/>
      </patternFill>
    </fill>
    <fill>
      <patternFill patternType="solid">
        <fgColor rgb="FFB91C1C"/>
        <bgColor rgb="FFB91C1C"/>
      </patternFill>
    </fill>
    <fill>
      <patternFill patternType="solid">
        <fgColor rgb="FFFEF2F2"/>
        <bgColor rgb="FFFEF2F2"/>
      </patternFill>
    </fill>
    <fill>
      <patternFill patternType="solid">
        <fgColor rgb="FF15803D"/>
        <bgColor rgb="FF15803D"/>
      </patternFill>
    </fill>
    <fill>
      <patternFill patternType="solid">
        <fgColor rgb="FF4B5563"/>
        <bgColor rgb="FF4B5563"/>
      </patternFill>
    </fill>
    <fill>
      <patternFill patternType="solid">
        <fgColor rgb="FF1D4ED8"/>
        <bgColor rgb="FF1D4ED8"/>
      </patternFill>
    </fill>
    <fill>
      <patternFill patternType="solid">
        <fgColor rgb="FFEFF6FF"/>
        <bgColor rgb="FFEFF6FF"/>
      </patternFill>
    </fill>
    <fill>
      <patternFill patternType="solid">
        <fgColor rgb="FFF0F9FF"/>
        <bgColor rgb="FFF0F9FF"/>
      </patternFill>
    </fill>
    <fill>
      <patternFill patternType="solid">
        <fgColor rgb="FF1C5F5F"/>
        <bgColor rgb="FF1C5F5F"/>
      </patternFill>
    </fill>
    <fill>
      <patternFill patternType="solid">
        <fgColor rgb="FFF0FFF4"/>
        <bgColor rgb="FFF0FFF4"/>
      </patternFill>
    </fill>
    <fill>
      <patternFill patternType="solid">
        <fgColor rgb="FFFFF7ED"/>
        <bgColor rgb="FFFFF7ED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3" fillId="4" fontId="6" numFmtId="0" xfId="0" applyAlignment="1" applyBorder="1" applyFill="1" applyFont="1">
      <alignment horizontal="left" shrinkToFit="0" vertical="center" wrapText="1"/>
    </xf>
    <xf borderId="3" fillId="5" fontId="7" numFmtId="0" xfId="0" applyAlignment="1" applyBorder="1" applyFill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8" fontId="8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9" fontId="8" numFmtId="0" xfId="0" applyAlignment="1" applyBorder="1" applyFill="1" applyFont="1">
      <alignment horizontal="center" shrinkToFit="0" vertical="center" wrapText="1"/>
    </xf>
    <xf borderId="3" fillId="8" fontId="8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" fillId="10" fontId="10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11" fontId="5" numFmtId="0" xfId="0" applyAlignment="1" applyBorder="1" applyFill="1" applyFont="1">
      <alignment horizontal="center" shrinkToFit="0" vertical="center" wrapText="1"/>
    </xf>
    <xf borderId="3" fillId="9" fontId="8" numFmtId="0" xfId="0" applyAlignment="1" applyBorder="1" applyFont="1">
      <alignment horizontal="left" shrinkToFit="0" vertical="center" wrapText="1"/>
    </xf>
    <xf borderId="3" fillId="9" fontId="8" numFmtId="3" xfId="0" applyAlignment="1" applyBorder="1" applyFont="1" applyNumberFormat="1">
      <alignment horizontal="center" shrinkToFit="0" vertical="center" wrapText="1"/>
    </xf>
    <xf borderId="3" fillId="9" fontId="11" numFmtId="0" xfId="0" applyAlignment="1" applyBorder="1" applyFont="1">
      <alignment horizontal="left" shrinkToFit="0" vertical="center" wrapText="1"/>
    </xf>
    <xf borderId="3" fillId="7" fontId="12" numFmtId="0" xfId="0" applyAlignment="1" applyBorder="1" applyFont="1">
      <alignment horizontal="left" shrinkToFit="0" vertical="center" wrapText="1"/>
    </xf>
    <xf borderId="3" fillId="7" fontId="9" numFmtId="0" xfId="0" applyAlignment="1" applyBorder="1" applyFont="1">
      <alignment horizontal="center" shrinkToFit="0" vertical="center" wrapText="1"/>
    </xf>
    <xf borderId="3" fillId="7" fontId="9" numFmtId="3" xfId="0" applyAlignment="1" applyBorder="1" applyFont="1" applyNumberFormat="1">
      <alignment horizontal="center" shrinkToFit="0" vertical="center" wrapText="1"/>
    </xf>
    <xf borderId="3" fillId="8" fontId="8" numFmtId="3" xfId="0" applyAlignment="1" applyBorder="1" applyFont="1" applyNumberFormat="1">
      <alignment horizontal="center" shrinkToFit="0" vertical="center" wrapText="1"/>
    </xf>
    <xf borderId="3" fillId="8" fontId="11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3" fillId="7" fontId="13" numFmtId="0" xfId="0" applyAlignment="1" applyBorder="1" applyFont="1">
      <alignment horizontal="left" shrinkToFit="0" vertical="center" wrapText="1"/>
    </xf>
    <xf borderId="3" fillId="12" fontId="13" numFmtId="0" xfId="0" applyAlignment="1" applyBorder="1" applyFill="1" applyFont="1">
      <alignment horizontal="left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left" shrinkToFit="0" vertical="center" wrapText="1"/>
    </xf>
    <xf borderId="1" fillId="5" fontId="15" numFmtId="0" xfId="0" applyAlignment="1" applyBorder="1" applyFont="1">
      <alignment horizontal="left" shrinkToFit="0" vertical="center" wrapText="1"/>
    </xf>
    <xf borderId="1" fillId="13" fontId="10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ont="1">
      <alignment horizontal="left" shrinkToFit="0" vertical="center" wrapText="1"/>
    </xf>
    <xf borderId="3" fillId="9" fontId="13" numFmtId="0" xfId="0" applyAlignment="1" applyBorder="1" applyFont="1">
      <alignment horizontal="left" shrinkToFit="0" vertical="center" wrapText="1"/>
    </xf>
    <xf borderId="3" fillId="8" fontId="13" numFmtId="0" xfId="0" applyAlignment="1" applyBorder="1" applyFont="1">
      <alignment horizontal="left" shrinkToFit="0" vertical="center" wrapText="1"/>
    </xf>
    <xf borderId="3" fillId="7" fontId="17" numFmtId="0" xfId="0" applyAlignment="1" applyBorder="1" applyFont="1">
      <alignment horizontal="left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3" fillId="14" fontId="18" numFmtId="0" xfId="0" applyAlignment="1" applyBorder="1" applyFill="1" applyFont="1">
      <alignment horizontal="center" shrinkToFit="0" vertical="center" wrapText="1"/>
    </xf>
    <xf borderId="3" fillId="4" fontId="19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left" shrinkToFit="0" vertical="center" wrapText="1"/>
    </xf>
    <xf borderId="3" fillId="5" fontId="3" numFmtId="0" xfId="0" applyAlignment="1" applyBorder="1" applyFont="1">
      <alignment shrinkToFit="0" vertical="bottom" wrapText="0"/>
    </xf>
    <xf borderId="1" fillId="7" fontId="20" numFmtId="0" xfId="0" applyAlignment="1" applyBorder="1" applyFont="1">
      <alignment horizontal="left" shrinkToFit="0" vertical="center" wrapText="1"/>
    </xf>
    <xf borderId="1" fillId="15" fontId="1" numFmtId="0" xfId="0" applyAlignment="1" applyBorder="1" applyFill="1" applyFont="1">
      <alignment horizontal="center" shrinkToFit="0" vertical="center" wrapText="1"/>
    </xf>
    <xf borderId="3" fillId="16" fontId="21" numFmtId="0" xfId="0" applyAlignment="1" applyBorder="1" applyFill="1" applyFont="1">
      <alignment horizontal="left" shrinkToFit="0" vertical="center" wrapText="1"/>
    </xf>
    <xf borderId="3" fillId="16" fontId="13" numFmtId="0" xfId="0" applyAlignment="1" applyBorder="1" applyFont="1">
      <alignment horizontal="left" shrinkToFit="0" vertical="center" wrapText="1"/>
    </xf>
    <xf borderId="3" fillId="16" fontId="3" numFmtId="0" xfId="0" applyAlignment="1" applyBorder="1" applyFont="1">
      <alignment shrinkToFit="0" vertical="bottom" wrapText="0"/>
    </xf>
    <xf borderId="3" fillId="17" fontId="21" numFmtId="0" xfId="0" applyAlignment="1" applyBorder="1" applyFill="1" applyFont="1">
      <alignment horizontal="left" shrinkToFit="0" vertical="center" wrapText="1"/>
    </xf>
    <xf borderId="3" fillId="17" fontId="13" numFmtId="0" xfId="0" applyAlignment="1" applyBorder="1" applyFont="1">
      <alignment horizontal="left" shrinkToFit="0" vertical="center" wrapText="1"/>
    </xf>
    <xf borderId="3" fillId="17" fontId="3" numFmtId="0" xfId="0" applyAlignment="1" applyBorder="1" applyFont="1">
      <alignment shrinkToFit="0" vertical="bottom" wrapText="0"/>
    </xf>
    <xf borderId="3" fillId="9" fontId="8" numFmtId="164" xfId="0" applyAlignment="1" applyBorder="1" applyFont="1" applyNumberFormat="1">
      <alignment horizontal="left" shrinkToFit="0" vertical="center" wrapText="1"/>
    </xf>
    <xf borderId="3" fillId="5" fontId="15" numFmtId="4" xfId="0" applyAlignment="1" applyBorder="1" applyFont="1" applyNumberFormat="1">
      <alignment horizontal="center" shrinkToFit="0" vertical="center" wrapText="1"/>
    </xf>
    <xf borderId="3" fillId="16" fontId="22" numFmtId="4" xfId="0" applyAlignment="1" applyBorder="1" applyFont="1" applyNumberFormat="1">
      <alignment horizontal="center" shrinkToFit="0" vertical="center" wrapText="1"/>
    </xf>
    <xf borderId="3" fillId="9" fontId="3" numFmtId="0" xfId="0" applyAlignment="1" applyBorder="1" applyFont="1">
      <alignment shrinkToFit="0" vertical="bottom" wrapText="0"/>
    </xf>
    <xf borderId="3" fillId="7" fontId="8" numFmtId="0" xfId="0" applyAlignment="1" applyBorder="1" applyFont="1">
      <alignment horizontal="center" shrinkToFit="0" vertical="center" wrapText="1"/>
    </xf>
    <xf borderId="3" fillId="7" fontId="8" numFmtId="0" xfId="0" applyAlignment="1" applyBorder="1" applyFont="1">
      <alignment horizontal="left" shrinkToFit="0" vertical="center" wrapText="1"/>
    </xf>
    <xf borderId="3" fillId="7" fontId="8" numFmtId="164" xfId="0" applyAlignment="1" applyBorder="1" applyFont="1" applyNumberFormat="1">
      <alignment horizontal="left" shrinkToFit="0" vertical="center" wrapText="1"/>
    </xf>
    <xf borderId="3" fillId="8" fontId="3" numFmtId="0" xfId="0" applyAlignment="1" applyBorder="1" applyFont="1">
      <alignment shrinkToFit="0" vertical="bottom" wrapText="0"/>
    </xf>
    <xf borderId="3" fillId="4" fontId="14" numFmtId="3" xfId="0" applyAlignment="1" applyBorder="1" applyFont="1" applyNumberFormat="1">
      <alignment horizontal="left" shrinkToFit="0" vertical="center" wrapText="1"/>
    </xf>
    <xf borderId="1" fillId="15" fontId="10" numFmtId="0" xfId="0" applyAlignment="1" applyBorder="1" applyFont="1">
      <alignment horizontal="center" shrinkToFit="0" vertical="center" wrapText="1"/>
    </xf>
    <xf borderId="3" fillId="9" fontId="13" numFmtId="4" xfId="0" applyAlignment="1" applyBorder="1" applyFont="1" applyNumberFormat="1">
      <alignment horizontal="center" shrinkToFit="0" vertical="center" wrapText="1"/>
    </xf>
    <xf borderId="3" fillId="7" fontId="13" numFmtId="4" xfId="0" applyAlignment="1" applyBorder="1" applyFont="1" applyNumberFormat="1">
      <alignment horizontal="center" shrinkToFit="0" vertical="center" wrapText="1"/>
    </xf>
    <xf borderId="3" fillId="7" fontId="12" numFmtId="4" xfId="0" applyAlignment="1" applyBorder="1" applyFont="1" applyNumberForma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1"/>
    </xf>
    <xf borderId="3" fillId="5" fontId="21" numFmtId="0" xfId="0" applyAlignment="1" applyBorder="1" applyFont="1">
      <alignment horizontal="left" shrinkToFit="0" vertical="center" wrapText="1"/>
    </xf>
    <xf borderId="3" fillId="5" fontId="13" numFmtId="0" xfId="0" applyAlignment="1" applyBorder="1" applyFont="1">
      <alignment horizontal="left" shrinkToFit="0" vertical="center" wrapText="1"/>
    </xf>
    <xf borderId="3" fillId="19" fontId="21" numFmtId="0" xfId="0" applyAlignment="1" applyBorder="1" applyFill="1" applyFont="1">
      <alignment horizontal="left" shrinkToFit="0" vertical="center" wrapText="1"/>
    </xf>
    <xf borderId="3" fillId="19" fontId="13" numFmtId="0" xfId="0" applyAlignment="1" applyBorder="1" applyFont="1">
      <alignment horizontal="left" shrinkToFit="0" vertical="center" wrapText="1"/>
    </xf>
    <xf borderId="3" fillId="19" fontId="3" numFmtId="0" xfId="0" applyAlignment="1" applyBorder="1" applyFont="1">
      <alignment shrinkToFit="0" vertical="bottom" wrapText="0"/>
    </xf>
    <xf borderId="3" fillId="18" fontId="18" numFmtId="0" xfId="0" applyAlignment="1" applyBorder="1" applyFont="1">
      <alignment horizontal="center" shrinkToFit="0" vertical="center" wrapText="1"/>
    </xf>
    <xf borderId="3" fillId="5" fontId="15" numFmtId="0" xfId="0" applyAlignment="1" applyBorder="1" applyFont="1">
      <alignment horizontal="left" shrinkToFit="0" vertical="center" wrapText="1"/>
    </xf>
    <xf borderId="3" fillId="16" fontId="22" numFmtId="0" xfId="0" applyAlignment="1" applyBorder="1" applyFont="1">
      <alignment horizontal="left" shrinkToFit="0" vertical="center" wrapText="1"/>
    </xf>
    <xf borderId="3" fillId="5" fontId="15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3" fillId="9" fontId="13" numFmtId="0" xfId="0" applyAlignment="1" applyBorder="1" applyFont="1">
      <alignment horizontal="center" shrinkToFit="0" vertical="center" wrapText="1"/>
    </xf>
    <xf borderId="3" fillId="9" fontId="13" numFmtId="3" xfId="0" applyAlignment="1" applyBorder="1" applyFont="1" applyNumberFormat="1">
      <alignment horizontal="center" shrinkToFit="0" vertical="center" wrapText="1"/>
    </xf>
    <xf borderId="3" fillId="20" fontId="13" numFmtId="0" xfId="0" applyAlignment="1" applyBorder="1" applyFill="1" applyFont="1">
      <alignment horizontal="center" shrinkToFit="0" vertical="center" wrapText="1"/>
    </xf>
    <xf borderId="3" fillId="20" fontId="13" numFmtId="0" xfId="0" applyAlignment="1" applyBorder="1" applyFont="1">
      <alignment horizontal="left" shrinkToFit="0" vertical="center" wrapText="1"/>
    </xf>
    <xf borderId="3" fillId="7" fontId="12" numFmtId="0" xfId="0" applyAlignment="1" applyBorder="1" applyFont="1">
      <alignment horizontal="center" shrinkToFit="0" vertical="center" wrapText="1"/>
    </xf>
    <xf borderId="3" fillId="7" fontId="12" numFmtId="3" xfId="0" applyAlignment="1" applyBorder="1" applyFont="1" applyNumberFormat="1">
      <alignment horizontal="center" shrinkToFit="0" vertical="center" wrapText="1"/>
    </xf>
    <xf borderId="3" fillId="8" fontId="13" numFmtId="0" xfId="0" applyAlignment="1" applyBorder="1" applyFont="1">
      <alignment horizontal="center" shrinkToFit="0" vertical="center" wrapText="1"/>
    </xf>
    <xf borderId="3" fillId="8" fontId="13" numFmtId="3" xfId="0" applyAlignment="1" applyBorder="1" applyFont="1" applyNumberFormat="1">
      <alignment horizontal="center" shrinkToFit="0" vertical="center" wrapText="1"/>
    </xf>
    <xf borderId="1" fillId="16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2.0"/>
    <col customWidth="1" min="3" max="3" width="14.0"/>
    <col customWidth="1" min="4" max="4" width="12.0"/>
    <col customWidth="1" min="5" max="5" width="14.0"/>
    <col customWidth="1" min="6" max="26" width="8.71"/>
  </cols>
  <sheetData>
    <row r="1" ht="36.0" customHeight="1">
      <c r="A1" s="1" t="s">
        <v>0</v>
      </c>
      <c r="B1" s="2"/>
      <c r="C1" s="3"/>
      <c r="D1" s="3"/>
      <c r="E1" s="3"/>
    </row>
    <row r="2" ht="19.5" customHeight="1">
      <c r="A2" s="4" t="s">
        <v>1</v>
      </c>
      <c r="B2" s="2"/>
      <c r="C2" s="3"/>
      <c r="D2" s="3"/>
      <c r="E2" s="3"/>
    </row>
    <row r="3">
      <c r="A3" s="3"/>
      <c r="B3" s="3"/>
      <c r="C3" s="3"/>
      <c r="D3" s="3"/>
      <c r="E3" s="3"/>
    </row>
    <row r="4" ht="19.5" customHeight="1">
      <c r="A4" s="5" t="s">
        <v>2</v>
      </c>
      <c r="B4" s="6"/>
      <c r="C4" s="3"/>
      <c r="D4" s="3"/>
      <c r="E4" s="3"/>
    </row>
    <row r="5" ht="19.5" customHeight="1">
      <c r="A5" s="7" t="s">
        <v>3</v>
      </c>
      <c r="B5" s="7" t="s">
        <v>4</v>
      </c>
      <c r="C5" s="3"/>
      <c r="D5" s="3"/>
      <c r="E5" s="3"/>
    </row>
    <row r="6" ht="19.5" customHeight="1">
      <c r="A6" s="8" t="s">
        <v>5</v>
      </c>
      <c r="B6" s="8" t="s">
        <v>6</v>
      </c>
      <c r="C6" s="3"/>
      <c r="D6" s="3"/>
      <c r="E6" s="3"/>
    </row>
    <row r="7" ht="19.5" customHeight="1">
      <c r="A7" s="9" t="s">
        <v>7</v>
      </c>
      <c r="B7" s="9" t="s">
        <v>8</v>
      </c>
      <c r="C7" s="3"/>
      <c r="D7" s="3"/>
      <c r="E7" s="3"/>
    </row>
    <row r="8" ht="19.5" customHeight="1">
      <c r="A8" s="10" t="s">
        <v>9</v>
      </c>
      <c r="B8" s="10" t="s">
        <v>10</v>
      </c>
      <c r="C8" s="3"/>
      <c r="D8" s="3"/>
      <c r="E8" s="3"/>
    </row>
    <row r="9" ht="19.5" customHeight="1">
      <c r="A9" s="11" t="s">
        <v>11</v>
      </c>
      <c r="B9" s="11" t="s">
        <v>12</v>
      </c>
      <c r="C9" s="3"/>
      <c r="D9" s="3"/>
      <c r="E9" s="3"/>
    </row>
    <row r="10">
      <c r="A10" s="3"/>
      <c r="B10" s="3"/>
      <c r="C10" s="3"/>
      <c r="D10" s="3"/>
      <c r="E10" s="3"/>
    </row>
    <row r="11" ht="21.75" customHeight="1">
      <c r="A11" s="12" t="s">
        <v>13</v>
      </c>
      <c r="B11" s="12" t="s">
        <v>14</v>
      </c>
      <c r="C11" s="12" t="s">
        <v>15</v>
      </c>
      <c r="D11" s="12" t="s">
        <v>16</v>
      </c>
      <c r="E11" s="12" t="s">
        <v>17</v>
      </c>
    </row>
    <row r="12" ht="19.5" customHeight="1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21</v>
      </c>
    </row>
    <row r="13" ht="19.5" customHeight="1">
      <c r="A13" s="14" t="s">
        <v>22</v>
      </c>
      <c r="B13" s="14" t="s">
        <v>23</v>
      </c>
      <c r="C13" s="14" t="s">
        <v>24</v>
      </c>
      <c r="D13" s="14" t="s">
        <v>25</v>
      </c>
      <c r="E13" s="14" t="s">
        <v>26</v>
      </c>
    </row>
    <row r="14" ht="19.5" customHeight="1">
      <c r="A14" s="13" t="s">
        <v>27</v>
      </c>
      <c r="B14" s="13" t="s">
        <v>28</v>
      </c>
      <c r="C14" s="13" t="s">
        <v>29</v>
      </c>
      <c r="D14" s="13" t="s">
        <v>30</v>
      </c>
      <c r="E14" s="13" t="s">
        <v>30</v>
      </c>
    </row>
    <row r="15" ht="19.5" customHeight="1">
      <c r="A15" s="14" t="s">
        <v>31</v>
      </c>
      <c r="B15" s="14" t="s">
        <v>32</v>
      </c>
      <c r="C15" s="14" t="s">
        <v>33</v>
      </c>
      <c r="D15" s="14" t="s">
        <v>34</v>
      </c>
      <c r="E15" s="14" t="s">
        <v>30</v>
      </c>
    </row>
    <row r="16" ht="19.5" customHeight="1">
      <c r="A16" s="13" t="s">
        <v>35</v>
      </c>
      <c r="B16" s="13" t="s">
        <v>36</v>
      </c>
      <c r="C16" s="13" t="s">
        <v>37</v>
      </c>
      <c r="D16" s="13" t="s">
        <v>38</v>
      </c>
      <c r="E16" s="13" t="s">
        <v>25</v>
      </c>
    </row>
    <row r="17" ht="19.5" customHeight="1">
      <c r="A17" s="14" t="s">
        <v>39</v>
      </c>
      <c r="B17" s="14" t="s">
        <v>40</v>
      </c>
      <c r="C17" s="14" t="s">
        <v>20</v>
      </c>
      <c r="D17" s="14" t="s">
        <v>21</v>
      </c>
      <c r="E17" s="14" t="s">
        <v>41</v>
      </c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2.0"/>
    <col customWidth="1" min="5" max="5" width="16.0"/>
    <col customWidth="1" min="6" max="7" width="22.0"/>
    <col customWidth="1" min="8" max="8" width="10.0"/>
    <col customWidth="1" min="9" max="26" width="8.71"/>
  </cols>
  <sheetData>
    <row r="1" ht="36.0" customHeight="1">
      <c r="A1" s="1" t="s">
        <v>42</v>
      </c>
      <c r="B1" s="15"/>
      <c r="C1" s="15"/>
      <c r="D1" s="15"/>
      <c r="E1" s="15"/>
      <c r="F1" s="15"/>
      <c r="G1" s="15"/>
      <c r="H1" s="2"/>
    </row>
    <row r="2" ht="19.5" customHeight="1">
      <c r="A2" s="4" t="s">
        <v>43</v>
      </c>
      <c r="B2" s="15"/>
      <c r="C2" s="15"/>
      <c r="D2" s="15"/>
      <c r="E2" s="15"/>
      <c r="F2" s="15"/>
      <c r="G2" s="15"/>
      <c r="H2" s="2"/>
    </row>
    <row r="3">
      <c r="A3" s="3"/>
      <c r="B3" s="3"/>
      <c r="C3" s="3"/>
      <c r="D3" s="3"/>
      <c r="E3" s="3"/>
      <c r="F3" s="3"/>
      <c r="G3" s="3"/>
      <c r="H3" s="3"/>
    </row>
    <row r="4" ht="24.0" customHeight="1">
      <c r="A4" s="16" t="s">
        <v>44</v>
      </c>
      <c r="B4" s="15"/>
      <c r="C4" s="15"/>
      <c r="D4" s="15"/>
      <c r="E4" s="15"/>
      <c r="F4" s="15"/>
      <c r="G4" s="15"/>
      <c r="H4" s="2"/>
    </row>
    <row r="5" ht="24.0" customHeight="1">
      <c r="A5" s="17" t="s">
        <v>45</v>
      </c>
      <c r="B5" s="17" t="s">
        <v>46</v>
      </c>
      <c r="C5" s="17" t="s">
        <v>47</v>
      </c>
      <c r="D5" s="17" t="s">
        <v>48</v>
      </c>
      <c r="E5" s="17" t="s">
        <v>49</v>
      </c>
      <c r="F5" s="17" t="s">
        <v>50</v>
      </c>
      <c r="G5" s="18" t="s">
        <v>51</v>
      </c>
      <c r="H5" s="3"/>
    </row>
    <row r="6" ht="19.5" customHeight="1">
      <c r="A6" s="13">
        <v>101.0</v>
      </c>
      <c r="B6" s="19" t="s">
        <v>52</v>
      </c>
      <c r="C6" s="19" t="s">
        <v>53</v>
      </c>
      <c r="D6" s="20">
        <v>45000.0</v>
      </c>
      <c r="E6" s="19" t="s">
        <v>54</v>
      </c>
      <c r="F6" s="19" t="s">
        <v>55</v>
      </c>
      <c r="G6" s="21" t="s">
        <v>21</v>
      </c>
      <c r="H6" s="3"/>
    </row>
    <row r="7" ht="19.5" customHeight="1">
      <c r="A7" s="14">
        <v>102.0</v>
      </c>
      <c r="B7" s="11" t="s">
        <v>56</v>
      </c>
      <c r="C7" s="11" t="s">
        <v>57</v>
      </c>
      <c r="D7" s="14"/>
      <c r="E7" s="11" t="s">
        <v>58</v>
      </c>
      <c r="F7" s="11" t="s">
        <v>59</v>
      </c>
      <c r="G7" s="22" t="s">
        <v>60</v>
      </c>
      <c r="H7" s="3"/>
    </row>
    <row r="8" ht="19.5" customHeight="1">
      <c r="A8" s="23">
        <v>101.0</v>
      </c>
      <c r="B8" s="10" t="s">
        <v>52</v>
      </c>
      <c r="C8" s="10" t="s">
        <v>53</v>
      </c>
      <c r="D8" s="24">
        <v>45000.0</v>
      </c>
      <c r="E8" s="10" t="s">
        <v>54</v>
      </c>
      <c r="F8" s="10" t="s">
        <v>55</v>
      </c>
      <c r="G8" s="22" t="s">
        <v>61</v>
      </c>
      <c r="H8" s="3"/>
    </row>
    <row r="9" ht="19.5" customHeight="1">
      <c r="A9" s="14">
        <v>103.0</v>
      </c>
      <c r="B9" s="11" t="s">
        <v>62</v>
      </c>
      <c r="C9" s="11" t="s">
        <v>63</v>
      </c>
      <c r="D9" s="25">
        <v>38000.0</v>
      </c>
      <c r="E9" s="11" t="s">
        <v>64</v>
      </c>
      <c r="F9" s="11" t="s">
        <v>65</v>
      </c>
      <c r="G9" s="22" t="s">
        <v>66</v>
      </c>
      <c r="H9" s="3"/>
    </row>
    <row r="10" ht="19.5" customHeight="1">
      <c r="A10" s="13">
        <v>104.0</v>
      </c>
      <c r="B10" s="19" t="s">
        <v>67</v>
      </c>
      <c r="C10" s="19" t="s">
        <v>68</v>
      </c>
      <c r="D10" s="13"/>
      <c r="E10" s="19" t="s">
        <v>69</v>
      </c>
      <c r="F10" s="19" t="s">
        <v>70</v>
      </c>
      <c r="G10" s="22" t="s">
        <v>71</v>
      </c>
      <c r="H10" s="3"/>
    </row>
    <row r="11" ht="19.5" customHeight="1">
      <c r="A11" s="14">
        <v>105.0</v>
      </c>
      <c r="B11" s="11" t="s">
        <v>72</v>
      </c>
      <c r="C11" s="11" t="s">
        <v>57</v>
      </c>
      <c r="D11" s="25">
        <v>42000.0</v>
      </c>
      <c r="E11" s="11" t="s">
        <v>73</v>
      </c>
      <c r="F11" s="11" t="s">
        <v>74</v>
      </c>
      <c r="G11" s="26" t="s">
        <v>21</v>
      </c>
      <c r="H11" s="3"/>
    </row>
    <row r="12" ht="9.75" customHeight="1">
      <c r="A12" s="3"/>
      <c r="B12" s="3"/>
      <c r="C12" s="3"/>
      <c r="D12" s="3"/>
      <c r="E12" s="3"/>
      <c r="F12" s="3"/>
      <c r="G12" s="3"/>
      <c r="H12" s="3"/>
    </row>
    <row r="13" ht="24.0" customHeight="1">
      <c r="A13" s="27" t="s">
        <v>75</v>
      </c>
      <c r="B13" s="15"/>
      <c r="C13" s="15"/>
      <c r="D13" s="15"/>
      <c r="E13" s="15"/>
      <c r="F13" s="15"/>
      <c r="G13" s="15"/>
      <c r="H13" s="2"/>
    </row>
    <row r="14" ht="21.75" customHeight="1">
      <c r="A14" s="17" t="s">
        <v>76</v>
      </c>
      <c r="B14" s="17" t="s">
        <v>77</v>
      </c>
      <c r="C14" s="17" t="s">
        <v>78</v>
      </c>
      <c r="D14" s="17" t="s">
        <v>79</v>
      </c>
      <c r="E14" s="3"/>
      <c r="F14" s="3"/>
      <c r="G14" s="3"/>
      <c r="H14" s="3"/>
    </row>
    <row r="15" ht="24.0" customHeight="1">
      <c r="A15" s="28" t="s">
        <v>80</v>
      </c>
      <c r="B15" s="28" t="s">
        <v>81</v>
      </c>
      <c r="C15" s="28" t="s">
        <v>82</v>
      </c>
      <c r="D15" s="28" t="s">
        <v>83</v>
      </c>
      <c r="E15" s="3"/>
      <c r="F15" s="3"/>
      <c r="G15" s="3"/>
      <c r="H15" s="3"/>
    </row>
    <row r="16" ht="24.0" customHeight="1">
      <c r="A16" s="29" t="s">
        <v>84</v>
      </c>
      <c r="B16" s="29" t="s">
        <v>85</v>
      </c>
      <c r="C16" s="29" t="s">
        <v>86</v>
      </c>
      <c r="D16" s="29" t="s">
        <v>87</v>
      </c>
      <c r="E16" s="3"/>
      <c r="F16" s="3"/>
      <c r="G16" s="3"/>
      <c r="H16" s="3"/>
    </row>
    <row r="17" ht="24.0" customHeight="1">
      <c r="A17" s="28" t="s">
        <v>88</v>
      </c>
      <c r="B17" s="28" t="s">
        <v>89</v>
      </c>
      <c r="C17" s="28" t="s">
        <v>90</v>
      </c>
      <c r="D17" s="28" t="s">
        <v>91</v>
      </c>
      <c r="E17" s="3"/>
      <c r="F17" s="3"/>
      <c r="G17" s="3"/>
      <c r="H17" s="3"/>
    </row>
    <row r="18" ht="24.0" customHeight="1">
      <c r="A18" s="29" t="s">
        <v>92</v>
      </c>
      <c r="B18" s="29" t="s">
        <v>93</v>
      </c>
      <c r="C18" s="29" t="s">
        <v>94</v>
      </c>
      <c r="D18" s="29" t="s">
        <v>91</v>
      </c>
      <c r="E18" s="3"/>
      <c r="F18" s="3"/>
      <c r="G18" s="3"/>
      <c r="H18" s="3"/>
    </row>
    <row r="19" ht="24.0" customHeight="1">
      <c r="A19" s="28" t="s">
        <v>95</v>
      </c>
      <c r="B19" s="28" t="s">
        <v>96</v>
      </c>
      <c r="C19" s="28" t="s">
        <v>97</v>
      </c>
      <c r="D19" s="28" t="s">
        <v>98</v>
      </c>
      <c r="E19" s="3"/>
      <c r="F19" s="3"/>
      <c r="G19" s="3"/>
      <c r="H19" s="3"/>
    </row>
    <row r="20" ht="24.0" customHeight="1">
      <c r="A20" s="29" t="s">
        <v>99</v>
      </c>
      <c r="B20" s="29" t="s">
        <v>96</v>
      </c>
      <c r="C20" s="29" t="s">
        <v>100</v>
      </c>
      <c r="D20" s="29" t="s">
        <v>98</v>
      </c>
      <c r="E20" s="3"/>
      <c r="F20" s="3"/>
      <c r="G20" s="3"/>
      <c r="H20" s="3"/>
    </row>
    <row r="21" ht="24.0" customHeight="1">
      <c r="A21" s="28" t="s">
        <v>101</v>
      </c>
      <c r="B21" s="28" t="s">
        <v>102</v>
      </c>
      <c r="C21" s="28" t="s">
        <v>103</v>
      </c>
      <c r="D21" s="28" t="s">
        <v>98</v>
      </c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4">
    <mergeCell ref="A1:H1"/>
    <mergeCell ref="A2:H2"/>
    <mergeCell ref="A4:H4"/>
    <mergeCell ref="A13:H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2.0"/>
    <col customWidth="1" min="5" max="5" width="16.0"/>
    <col customWidth="1" min="6" max="6" width="22.0"/>
    <col customWidth="1" min="7" max="7" width="20.0"/>
    <col customWidth="1" min="8" max="8" width="10.0"/>
    <col customWidth="1" min="9" max="26" width="8.71"/>
  </cols>
  <sheetData>
    <row r="1" ht="36.0" customHeight="1">
      <c r="A1" s="30" t="s">
        <v>104</v>
      </c>
      <c r="B1" s="15"/>
      <c r="C1" s="15"/>
      <c r="D1" s="15"/>
      <c r="E1" s="15"/>
      <c r="F1" s="15"/>
      <c r="G1" s="15"/>
      <c r="H1" s="2"/>
    </row>
    <row r="2" ht="19.5" customHeight="1">
      <c r="A2" s="4" t="s">
        <v>105</v>
      </c>
      <c r="B2" s="15"/>
      <c r="C2" s="15"/>
      <c r="D2" s="15"/>
      <c r="E2" s="15"/>
      <c r="F2" s="15"/>
      <c r="G2" s="15"/>
      <c r="H2" s="2"/>
    </row>
    <row r="3">
      <c r="A3" s="3"/>
      <c r="B3" s="3"/>
      <c r="C3" s="3"/>
      <c r="D3" s="3"/>
      <c r="E3" s="3"/>
      <c r="F3" s="3"/>
      <c r="G3" s="3"/>
      <c r="H3" s="3"/>
    </row>
    <row r="4" ht="24.0" customHeight="1">
      <c r="A4" s="16" t="s">
        <v>106</v>
      </c>
      <c r="B4" s="15"/>
      <c r="C4" s="15"/>
      <c r="D4" s="15"/>
      <c r="E4" s="15"/>
      <c r="F4" s="15"/>
      <c r="G4" s="15"/>
      <c r="H4" s="2"/>
    </row>
    <row r="5" ht="24.0" customHeight="1">
      <c r="A5" s="17" t="s">
        <v>45</v>
      </c>
      <c r="B5" s="17" t="s">
        <v>46</v>
      </c>
      <c r="C5" s="17" t="s">
        <v>47</v>
      </c>
      <c r="D5" s="17" t="s">
        <v>48</v>
      </c>
      <c r="E5" s="17" t="s">
        <v>49</v>
      </c>
      <c r="F5" s="17" t="s">
        <v>50</v>
      </c>
      <c r="G5" s="18" t="s">
        <v>51</v>
      </c>
      <c r="H5" s="3"/>
    </row>
    <row r="6" ht="19.5" customHeight="1">
      <c r="A6" s="13">
        <v>101.0</v>
      </c>
      <c r="B6" s="19" t="s">
        <v>52</v>
      </c>
      <c r="C6" s="19" t="s">
        <v>53</v>
      </c>
      <c r="D6" s="20">
        <v>45000.0</v>
      </c>
      <c r="E6" s="19" t="s">
        <v>54</v>
      </c>
      <c r="F6" s="19" t="s">
        <v>55</v>
      </c>
      <c r="G6" s="21" t="s">
        <v>21</v>
      </c>
      <c r="H6" s="3"/>
    </row>
    <row r="7" ht="19.5" customHeight="1">
      <c r="A7" s="14">
        <v>102.0</v>
      </c>
      <c r="B7" s="11" t="s">
        <v>56</v>
      </c>
      <c r="C7" s="11" t="s">
        <v>57</v>
      </c>
      <c r="D7" s="14"/>
      <c r="E7" s="11" t="s">
        <v>58</v>
      </c>
      <c r="F7" s="11" t="s">
        <v>59</v>
      </c>
      <c r="G7" s="22" t="s">
        <v>60</v>
      </c>
      <c r="H7" s="3"/>
    </row>
    <row r="8" ht="19.5" customHeight="1">
      <c r="A8" s="23">
        <v>101.0</v>
      </c>
      <c r="B8" s="10" t="s">
        <v>52</v>
      </c>
      <c r="C8" s="10" t="s">
        <v>53</v>
      </c>
      <c r="D8" s="24">
        <v>45000.0</v>
      </c>
      <c r="E8" s="10" t="s">
        <v>54</v>
      </c>
      <c r="F8" s="10" t="s">
        <v>55</v>
      </c>
      <c r="G8" s="22" t="s">
        <v>61</v>
      </c>
      <c r="H8" s="3"/>
    </row>
    <row r="9" ht="19.5" customHeight="1">
      <c r="A9" s="14">
        <v>103.0</v>
      </c>
      <c r="B9" s="11" t="s">
        <v>62</v>
      </c>
      <c r="C9" s="11" t="s">
        <v>63</v>
      </c>
      <c r="D9" s="25">
        <v>38000.0</v>
      </c>
      <c r="E9" s="11" t="s">
        <v>64</v>
      </c>
      <c r="F9" s="11" t="s">
        <v>65</v>
      </c>
      <c r="G9" s="22" t="s">
        <v>66</v>
      </c>
      <c r="H9" s="3"/>
    </row>
    <row r="10" ht="19.5" customHeight="1">
      <c r="A10" s="13">
        <v>104.0</v>
      </c>
      <c r="B10" s="19" t="s">
        <v>67</v>
      </c>
      <c r="C10" s="19" t="s">
        <v>68</v>
      </c>
      <c r="D10" s="13"/>
      <c r="E10" s="19" t="s">
        <v>69</v>
      </c>
      <c r="F10" s="19" t="s">
        <v>70</v>
      </c>
      <c r="G10" s="22" t="s">
        <v>71</v>
      </c>
      <c r="H10" s="3"/>
    </row>
    <row r="11" ht="19.5" customHeight="1">
      <c r="A11" s="14">
        <v>105.0</v>
      </c>
      <c r="B11" s="11" t="s">
        <v>72</v>
      </c>
      <c r="C11" s="11" t="s">
        <v>57</v>
      </c>
      <c r="D11" s="25">
        <v>42000.0</v>
      </c>
      <c r="E11" s="11" t="s">
        <v>73</v>
      </c>
      <c r="F11" s="11" t="s">
        <v>74</v>
      </c>
      <c r="G11" s="26" t="s">
        <v>21</v>
      </c>
      <c r="H11" s="3"/>
    </row>
    <row r="12" ht="9.75" customHeight="1">
      <c r="A12" s="3"/>
      <c r="B12" s="3"/>
      <c r="C12" s="3"/>
      <c r="D12" s="3"/>
      <c r="E12" s="3"/>
      <c r="F12" s="3"/>
      <c r="G12" s="3"/>
      <c r="H12" s="3"/>
    </row>
    <row r="13" ht="24.0" customHeight="1">
      <c r="A13" s="27" t="s">
        <v>107</v>
      </c>
      <c r="B13" s="15"/>
      <c r="C13" s="15"/>
      <c r="D13" s="15"/>
      <c r="E13" s="15"/>
      <c r="F13" s="15"/>
      <c r="G13" s="15"/>
      <c r="H13" s="2"/>
    </row>
    <row r="14" ht="33.75" customHeight="1">
      <c r="A14" s="31" t="s">
        <v>108</v>
      </c>
      <c r="B14" s="32" t="s">
        <v>109</v>
      </c>
      <c r="C14" s="15"/>
      <c r="D14" s="15"/>
      <c r="E14" s="15"/>
      <c r="F14" s="15"/>
      <c r="G14" s="15"/>
      <c r="H14" s="2"/>
    </row>
    <row r="15" ht="33.75" customHeight="1">
      <c r="A15" s="31" t="s">
        <v>110</v>
      </c>
      <c r="B15" s="32" t="s">
        <v>111</v>
      </c>
      <c r="C15" s="15"/>
      <c r="D15" s="15"/>
      <c r="E15" s="15"/>
      <c r="F15" s="15"/>
      <c r="G15" s="15"/>
      <c r="H15" s="2"/>
    </row>
    <row r="16" ht="33.75" customHeight="1">
      <c r="A16" s="31" t="s">
        <v>112</v>
      </c>
      <c r="B16" s="32" t="s">
        <v>113</v>
      </c>
      <c r="C16" s="15"/>
      <c r="D16" s="15"/>
      <c r="E16" s="15"/>
      <c r="F16" s="15"/>
      <c r="G16" s="15"/>
      <c r="H16" s="2"/>
    </row>
    <row r="17" ht="33.75" customHeight="1">
      <c r="A17" s="31" t="s">
        <v>114</v>
      </c>
      <c r="B17" s="32" t="s">
        <v>115</v>
      </c>
      <c r="C17" s="15"/>
      <c r="D17" s="15"/>
      <c r="E17" s="15"/>
      <c r="F17" s="15"/>
      <c r="G17" s="15"/>
      <c r="H17" s="2"/>
    </row>
    <row r="18" ht="33.75" customHeight="1">
      <c r="A18" s="31" t="s">
        <v>116</v>
      </c>
      <c r="B18" s="32" t="s">
        <v>117</v>
      </c>
      <c r="C18" s="15"/>
      <c r="D18" s="15"/>
      <c r="E18" s="15"/>
      <c r="F18" s="15"/>
      <c r="G18" s="15"/>
      <c r="H18" s="2"/>
    </row>
    <row r="19" ht="33.75" customHeight="1">
      <c r="A19" s="31" t="s">
        <v>118</v>
      </c>
      <c r="B19" s="32" t="s">
        <v>119</v>
      </c>
      <c r="C19" s="15"/>
      <c r="D19" s="15"/>
      <c r="E19" s="15"/>
      <c r="F19" s="15"/>
      <c r="G19" s="15"/>
      <c r="H19" s="2"/>
    </row>
    <row r="20" ht="33.75" customHeight="1">
      <c r="A20" s="31" t="s">
        <v>120</v>
      </c>
      <c r="B20" s="32" t="s">
        <v>121</v>
      </c>
      <c r="C20" s="15"/>
      <c r="D20" s="15"/>
      <c r="E20" s="15"/>
      <c r="F20" s="15"/>
      <c r="G20" s="15"/>
      <c r="H20" s="2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9.75" customHeight="1">
      <c r="A22" s="3"/>
      <c r="B22" s="3"/>
      <c r="C22" s="3"/>
      <c r="D22" s="3"/>
      <c r="E22" s="3"/>
      <c r="F22" s="3"/>
      <c r="G22" s="3"/>
      <c r="H22" s="3"/>
    </row>
    <row r="23" ht="24.0" customHeight="1">
      <c r="A23" s="33" t="s">
        <v>122</v>
      </c>
      <c r="B23" s="15"/>
      <c r="C23" s="15"/>
      <c r="D23" s="15"/>
      <c r="E23" s="15"/>
      <c r="F23" s="15"/>
      <c r="G23" s="15"/>
      <c r="H23" s="2"/>
    </row>
    <row r="24" ht="24.0" customHeight="1">
      <c r="A24" s="17" t="s">
        <v>45</v>
      </c>
      <c r="B24" s="17" t="s">
        <v>46</v>
      </c>
      <c r="C24" s="17" t="s">
        <v>47</v>
      </c>
      <c r="D24" s="17" t="s">
        <v>48</v>
      </c>
      <c r="E24" s="17" t="s">
        <v>49</v>
      </c>
      <c r="F24" s="17" t="s">
        <v>50</v>
      </c>
      <c r="G24" s="3"/>
      <c r="H24" s="3"/>
    </row>
    <row r="25" ht="19.5" customHeight="1">
      <c r="A25" s="13">
        <v>101.0</v>
      </c>
      <c r="B25" s="19" t="s">
        <v>52</v>
      </c>
      <c r="C25" s="19" t="s">
        <v>53</v>
      </c>
      <c r="D25" s="20">
        <v>45000.0</v>
      </c>
      <c r="E25" s="19" t="s">
        <v>54</v>
      </c>
      <c r="F25" s="19" t="s">
        <v>55</v>
      </c>
      <c r="G25" s="3"/>
      <c r="H25" s="3"/>
    </row>
    <row r="26" ht="19.5" customHeight="1">
      <c r="A26" s="14">
        <v>102.0</v>
      </c>
      <c r="B26" s="11" t="s">
        <v>56</v>
      </c>
      <c r="C26" s="11" t="s">
        <v>57</v>
      </c>
      <c r="D26" s="14"/>
      <c r="E26" s="11" t="s">
        <v>58</v>
      </c>
      <c r="F26" s="11" t="s">
        <v>59</v>
      </c>
      <c r="G26" s="3"/>
      <c r="H26" s="3"/>
    </row>
    <row r="27" ht="19.5" customHeight="1">
      <c r="A27" s="23">
        <v>101.0</v>
      </c>
      <c r="B27" s="10" t="s">
        <v>52</v>
      </c>
      <c r="C27" s="10" t="s">
        <v>53</v>
      </c>
      <c r="D27" s="24">
        <v>45000.0</v>
      </c>
      <c r="E27" s="10" t="s">
        <v>54</v>
      </c>
      <c r="F27" s="10" t="s">
        <v>55</v>
      </c>
      <c r="G27" s="3"/>
      <c r="H27" s="3"/>
    </row>
    <row r="28" ht="19.5" customHeight="1">
      <c r="A28" s="14">
        <v>103.0</v>
      </c>
      <c r="B28" s="11" t="s">
        <v>62</v>
      </c>
      <c r="C28" s="11" t="s">
        <v>63</v>
      </c>
      <c r="D28" s="25">
        <v>38000.0</v>
      </c>
      <c r="E28" s="11" t="s">
        <v>64</v>
      </c>
      <c r="F28" s="11" t="s">
        <v>65</v>
      </c>
      <c r="G28" s="3"/>
      <c r="H28" s="3"/>
    </row>
    <row r="29" ht="19.5" customHeight="1">
      <c r="A29" s="13">
        <v>104.0</v>
      </c>
      <c r="B29" s="19" t="s">
        <v>67</v>
      </c>
      <c r="C29" s="19" t="s">
        <v>68</v>
      </c>
      <c r="D29" s="13"/>
      <c r="E29" s="19" t="s">
        <v>69</v>
      </c>
      <c r="F29" s="19" t="s">
        <v>70</v>
      </c>
      <c r="G29" s="3"/>
      <c r="H29" s="3"/>
    </row>
    <row r="30" ht="19.5" customHeight="1">
      <c r="A30" s="14">
        <v>105.0</v>
      </c>
      <c r="B30" s="11" t="s">
        <v>72</v>
      </c>
      <c r="C30" s="11" t="s">
        <v>57</v>
      </c>
      <c r="D30" s="25">
        <v>42000.0</v>
      </c>
      <c r="E30" s="11" t="s">
        <v>73</v>
      </c>
      <c r="F30" s="11" t="s">
        <v>74</v>
      </c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39.75" customHeight="1">
      <c r="A32" s="31" t="s">
        <v>123</v>
      </c>
      <c r="B32" s="32" t="s">
        <v>124</v>
      </c>
      <c r="C32" s="15"/>
      <c r="D32" s="15"/>
      <c r="E32" s="15"/>
      <c r="F32" s="15"/>
      <c r="G32" s="15"/>
      <c r="H32" s="2"/>
    </row>
    <row r="33" ht="39.75" customHeight="1">
      <c r="A33" s="31" t="s">
        <v>125</v>
      </c>
      <c r="B33" s="32" t="s">
        <v>126</v>
      </c>
      <c r="C33" s="15"/>
      <c r="D33" s="15"/>
      <c r="E33" s="15"/>
      <c r="F33" s="15"/>
      <c r="G33" s="15"/>
      <c r="H33" s="2"/>
    </row>
    <row r="34" ht="39.75" customHeight="1">
      <c r="A34" s="31" t="s">
        <v>127</v>
      </c>
      <c r="B34" s="32" t="s">
        <v>128</v>
      </c>
      <c r="C34" s="15"/>
      <c r="D34" s="15"/>
      <c r="E34" s="15"/>
      <c r="F34" s="15"/>
      <c r="G34" s="15"/>
      <c r="H34" s="2"/>
    </row>
    <row r="35" ht="39.75" customHeight="1">
      <c r="A35" s="31" t="s">
        <v>129</v>
      </c>
      <c r="B35" s="32" t="s">
        <v>130</v>
      </c>
      <c r="C35" s="15"/>
      <c r="D35" s="15"/>
      <c r="E35" s="15"/>
      <c r="F35" s="15"/>
      <c r="G35" s="15"/>
      <c r="H35" s="2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30.0" customHeight="1">
      <c r="A37" s="34" t="s">
        <v>131</v>
      </c>
      <c r="B37" s="15"/>
      <c r="C37" s="15"/>
      <c r="D37" s="15"/>
      <c r="E37" s="15"/>
      <c r="F37" s="15"/>
      <c r="G37" s="15"/>
      <c r="H37" s="2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9.75" customHeight="1">
      <c r="A39" s="3"/>
      <c r="B39" s="3"/>
      <c r="C39" s="3"/>
      <c r="D39" s="3"/>
      <c r="E39" s="3"/>
      <c r="F39" s="3"/>
      <c r="G39" s="3"/>
      <c r="H39" s="3"/>
    </row>
    <row r="40" ht="24.0" customHeight="1">
      <c r="A40" s="16" t="s">
        <v>132</v>
      </c>
      <c r="B40" s="15"/>
      <c r="C40" s="15"/>
      <c r="D40" s="15"/>
      <c r="E40" s="15"/>
      <c r="F40" s="15"/>
      <c r="G40" s="15"/>
      <c r="H40" s="2"/>
    </row>
    <row r="41" ht="21.75" customHeight="1">
      <c r="A41" s="17" t="s">
        <v>133</v>
      </c>
      <c r="B41" s="17" t="s">
        <v>134</v>
      </c>
      <c r="C41" s="17" t="s">
        <v>135</v>
      </c>
      <c r="D41" s="17" t="s">
        <v>136</v>
      </c>
      <c r="E41" s="17" t="s">
        <v>137</v>
      </c>
      <c r="F41" s="3"/>
      <c r="G41" s="3"/>
      <c r="H41" s="3"/>
    </row>
    <row r="42" ht="25.5" customHeight="1">
      <c r="A42" s="35" t="s">
        <v>138</v>
      </c>
      <c r="B42" s="35" t="s">
        <v>139</v>
      </c>
      <c r="C42" s="35" t="s">
        <v>139</v>
      </c>
      <c r="D42" s="35" t="s">
        <v>140</v>
      </c>
      <c r="E42" s="35" t="s">
        <v>141</v>
      </c>
      <c r="F42" s="3"/>
      <c r="G42" s="3"/>
      <c r="H42" s="3"/>
    </row>
    <row r="43" ht="25.5" customHeight="1">
      <c r="A43" s="36" t="s">
        <v>142</v>
      </c>
      <c r="B43" s="36" t="s">
        <v>139</v>
      </c>
      <c r="C43" s="36" t="s">
        <v>143</v>
      </c>
      <c r="D43" s="36" t="s">
        <v>144</v>
      </c>
      <c r="E43" s="37" t="s">
        <v>145</v>
      </c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18">
    <mergeCell ref="A1:H1"/>
    <mergeCell ref="A2:H2"/>
    <mergeCell ref="A4:H4"/>
    <mergeCell ref="A13:H13"/>
    <mergeCell ref="B14:H14"/>
    <mergeCell ref="B15:H15"/>
    <mergeCell ref="B16:H16"/>
    <mergeCell ref="B34:H34"/>
    <mergeCell ref="B35:H35"/>
    <mergeCell ref="A37:H37"/>
    <mergeCell ref="A40:H40"/>
    <mergeCell ref="B17:H17"/>
    <mergeCell ref="B18:H18"/>
    <mergeCell ref="B19:H19"/>
    <mergeCell ref="B20:H20"/>
    <mergeCell ref="A23:H23"/>
    <mergeCell ref="B32:H32"/>
    <mergeCell ref="B33:H3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14.0"/>
    <col customWidth="1" min="4" max="4" width="13.0"/>
    <col customWidth="1" min="5" max="5" width="12.0"/>
    <col customWidth="1" min="6" max="7" width="16.0"/>
    <col customWidth="1" min="8" max="11" width="13.0"/>
    <col customWidth="1" min="12" max="12" width="10.0"/>
    <col customWidth="1" min="13" max="26" width="8.71"/>
  </cols>
  <sheetData>
    <row r="1" ht="36.0" customHeight="1">
      <c r="A1" s="38" t="s">
        <v>146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"/>
    </row>
    <row r="2" ht="19.5" customHeight="1">
      <c r="A2" s="4" t="s">
        <v>147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.0" customHeight="1">
      <c r="A4" s="39" t="s">
        <v>148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2"/>
    </row>
    <row r="5" ht="24.0" customHeight="1">
      <c r="A5" s="17" t="s">
        <v>45</v>
      </c>
      <c r="B5" s="17" t="s">
        <v>46</v>
      </c>
      <c r="C5" s="17" t="s">
        <v>47</v>
      </c>
      <c r="D5" s="17" t="s">
        <v>48</v>
      </c>
      <c r="E5" s="17" t="s">
        <v>49</v>
      </c>
      <c r="F5" s="17" t="s">
        <v>50</v>
      </c>
      <c r="G5" s="40" t="s">
        <v>149</v>
      </c>
      <c r="H5" s="40"/>
      <c r="I5" s="40"/>
      <c r="J5" s="40"/>
      <c r="K5" s="40"/>
      <c r="L5" s="40"/>
    </row>
    <row r="6" ht="19.5" customHeight="1">
      <c r="A6" s="14">
        <v>101.0</v>
      </c>
      <c r="B6" s="11" t="s">
        <v>52</v>
      </c>
      <c r="C6" s="11" t="s">
        <v>53</v>
      </c>
      <c r="D6" s="25">
        <v>45000.0</v>
      </c>
      <c r="E6" s="11" t="s">
        <v>54</v>
      </c>
      <c r="F6" s="11" t="s">
        <v>55</v>
      </c>
      <c r="G6" s="41" t="s">
        <v>150</v>
      </c>
      <c r="H6" s="41" t="s">
        <v>150</v>
      </c>
      <c r="I6" s="41" t="s">
        <v>150</v>
      </c>
      <c r="J6" s="41" t="s">
        <v>150</v>
      </c>
      <c r="K6" s="41" t="s">
        <v>150</v>
      </c>
      <c r="L6" s="41" t="s">
        <v>150</v>
      </c>
    </row>
    <row r="7" ht="19.5" customHeight="1">
      <c r="A7" s="13">
        <v>102.0</v>
      </c>
      <c r="B7" s="19" t="s">
        <v>56</v>
      </c>
      <c r="C7" s="19" t="s">
        <v>57</v>
      </c>
      <c r="D7" s="13"/>
      <c r="E7" s="19" t="s">
        <v>58</v>
      </c>
      <c r="F7" s="19" t="s">
        <v>59</v>
      </c>
      <c r="G7" s="41" t="s">
        <v>150</v>
      </c>
      <c r="H7" s="41" t="s">
        <v>150</v>
      </c>
      <c r="I7" s="41" t="s">
        <v>150</v>
      </c>
      <c r="J7" s="41" t="s">
        <v>150</v>
      </c>
      <c r="K7" s="41" t="s">
        <v>150</v>
      </c>
      <c r="L7" s="41" t="s">
        <v>150</v>
      </c>
    </row>
    <row r="8" ht="19.5" customHeight="1">
      <c r="A8" s="14">
        <v>103.0</v>
      </c>
      <c r="B8" s="11" t="s">
        <v>62</v>
      </c>
      <c r="C8" s="11" t="s">
        <v>63</v>
      </c>
      <c r="D8" s="25">
        <v>38000.0</v>
      </c>
      <c r="E8" s="11" t="s">
        <v>64</v>
      </c>
      <c r="F8" s="11" t="s">
        <v>65</v>
      </c>
      <c r="G8" s="41" t="s">
        <v>150</v>
      </c>
      <c r="H8" s="41" t="s">
        <v>150</v>
      </c>
      <c r="I8" s="41" t="s">
        <v>150</v>
      </c>
      <c r="J8" s="41" t="s">
        <v>150</v>
      </c>
      <c r="K8" s="41" t="s">
        <v>150</v>
      </c>
      <c r="L8" s="41" t="s">
        <v>150</v>
      </c>
    </row>
    <row r="9" ht="19.5" customHeight="1">
      <c r="A9" s="13">
        <v>104.0</v>
      </c>
      <c r="B9" s="19" t="s">
        <v>67</v>
      </c>
      <c r="C9" s="19" t="s">
        <v>68</v>
      </c>
      <c r="D9" s="13"/>
      <c r="E9" s="19" t="s">
        <v>69</v>
      </c>
      <c r="F9" s="19" t="s">
        <v>70</v>
      </c>
      <c r="G9" s="41" t="s">
        <v>150</v>
      </c>
      <c r="H9" s="41" t="s">
        <v>150</v>
      </c>
      <c r="I9" s="41" t="s">
        <v>150</v>
      </c>
      <c r="J9" s="41" t="s">
        <v>150</v>
      </c>
      <c r="K9" s="41" t="s">
        <v>150</v>
      </c>
      <c r="L9" s="41" t="s">
        <v>150</v>
      </c>
    </row>
    <row r="10" ht="19.5" customHeight="1">
      <c r="A10" s="14">
        <v>105.0</v>
      </c>
      <c r="B10" s="11" t="s">
        <v>72</v>
      </c>
      <c r="C10" s="11" t="s">
        <v>57</v>
      </c>
      <c r="D10" s="25">
        <v>42000.0</v>
      </c>
      <c r="E10" s="11" t="s">
        <v>73</v>
      </c>
      <c r="F10" s="11" t="s">
        <v>74</v>
      </c>
      <c r="G10" s="41" t="s">
        <v>150</v>
      </c>
      <c r="H10" s="41" t="s">
        <v>150</v>
      </c>
      <c r="I10" s="41" t="s">
        <v>150</v>
      </c>
      <c r="J10" s="41" t="s">
        <v>150</v>
      </c>
      <c r="K10" s="41" t="s">
        <v>150</v>
      </c>
      <c r="L10" s="41" t="s">
        <v>150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9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4.0" customHeight="1">
      <c r="A13" s="27" t="s">
        <v>151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2"/>
    </row>
    <row r="14" ht="43.5" customHeight="1">
      <c r="A14" s="31" t="s">
        <v>152</v>
      </c>
      <c r="B14" s="32" t="s">
        <v>153</v>
      </c>
      <c r="C14" s="15"/>
      <c r="D14" s="15"/>
      <c r="E14" s="15"/>
      <c r="F14" s="15"/>
      <c r="G14" s="15"/>
      <c r="H14" s="15"/>
      <c r="I14" s="15"/>
      <c r="J14" s="15"/>
      <c r="K14" s="15"/>
      <c r="L14" s="2"/>
    </row>
    <row r="15" ht="43.5" customHeight="1">
      <c r="A15" s="31" t="s">
        <v>154</v>
      </c>
      <c r="B15" s="32" t="s">
        <v>155</v>
      </c>
      <c r="C15" s="15"/>
      <c r="D15" s="15"/>
      <c r="E15" s="15"/>
      <c r="F15" s="15"/>
      <c r="G15" s="15"/>
      <c r="H15" s="15"/>
      <c r="I15" s="15"/>
      <c r="J15" s="15"/>
      <c r="K15" s="15"/>
      <c r="L15" s="2"/>
    </row>
    <row r="16" ht="43.5" customHeight="1">
      <c r="A16" s="31" t="s">
        <v>156</v>
      </c>
      <c r="B16" s="32" t="s">
        <v>157</v>
      </c>
      <c r="C16" s="15"/>
      <c r="D16" s="15"/>
      <c r="E16" s="15"/>
      <c r="F16" s="15"/>
      <c r="G16" s="15"/>
      <c r="H16" s="15"/>
      <c r="I16" s="15"/>
      <c r="J16" s="15"/>
      <c r="K16" s="15"/>
      <c r="L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9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4.0" customHeight="1">
      <c r="A19" s="33" t="s">
        <v>158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2"/>
    </row>
    <row r="20" ht="27.75" customHeight="1">
      <c r="A20" s="42" t="s">
        <v>45</v>
      </c>
      <c r="B20" s="42" t="s">
        <v>46</v>
      </c>
      <c r="C20" s="42" t="s">
        <v>47</v>
      </c>
      <c r="D20" s="42" t="s">
        <v>48</v>
      </c>
      <c r="E20" s="42" t="s">
        <v>49</v>
      </c>
      <c r="F20" s="40" t="s">
        <v>159</v>
      </c>
      <c r="G20" s="40"/>
      <c r="H20" s="42" t="s">
        <v>50</v>
      </c>
      <c r="I20" s="40" t="s">
        <v>160</v>
      </c>
      <c r="J20" s="40"/>
      <c r="K20" s="40"/>
      <c r="L20" s="40"/>
    </row>
    <row r="21" ht="19.5" customHeight="1">
      <c r="A21" s="13">
        <v>101.0</v>
      </c>
      <c r="B21" s="19" t="s">
        <v>52</v>
      </c>
      <c r="C21" s="19" t="s">
        <v>53</v>
      </c>
      <c r="D21" s="20">
        <v>45000.0</v>
      </c>
      <c r="E21" s="19" t="s">
        <v>54</v>
      </c>
      <c r="F21" s="43"/>
      <c r="G21" s="44"/>
      <c r="H21" s="3"/>
      <c r="I21" s="44"/>
      <c r="J21" s="44"/>
      <c r="K21" s="44"/>
      <c r="L21" s="44"/>
    </row>
    <row r="22" ht="19.5" customHeight="1">
      <c r="A22" s="14">
        <v>102.0</v>
      </c>
      <c r="B22" s="11" t="s">
        <v>56</v>
      </c>
      <c r="C22" s="11" t="s">
        <v>57</v>
      </c>
      <c r="D22" s="14"/>
      <c r="E22" s="11" t="s">
        <v>58</v>
      </c>
      <c r="F22" s="43"/>
      <c r="G22" s="44"/>
      <c r="H22" s="3"/>
      <c r="I22" s="44"/>
      <c r="J22" s="44"/>
      <c r="K22" s="44"/>
      <c r="L22" s="44"/>
    </row>
    <row r="23" ht="19.5" customHeight="1">
      <c r="A23" s="13">
        <v>103.0</v>
      </c>
      <c r="B23" s="19" t="s">
        <v>62</v>
      </c>
      <c r="C23" s="19" t="s">
        <v>63</v>
      </c>
      <c r="D23" s="20">
        <v>38000.0</v>
      </c>
      <c r="E23" s="19" t="s">
        <v>64</v>
      </c>
      <c r="F23" s="43"/>
      <c r="G23" s="44"/>
      <c r="H23" s="3"/>
      <c r="I23" s="44"/>
      <c r="J23" s="44"/>
      <c r="K23" s="44"/>
      <c r="L23" s="44"/>
    </row>
    <row r="24" ht="19.5" customHeight="1">
      <c r="A24" s="14">
        <v>104.0</v>
      </c>
      <c r="B24" s="11" t="s">
        <v>67</v>
      </c>
      <c r="C24" s="11" t="s">
        <v>68</v>
      </c>
      <c r="D24" s="14"/>
      <c r="E24" s="11" t="s">
        <v>69</v>
      </c>
      <c r="F24" s="43"/>
      <c r="G24" s="44"/>
      <c r="H24" s="3"/>
      <c r="I24" s="44"/>
      <c r="J24" s="44"/>
      <c r="K24" s="44"/>
      <c r="L24" s="44"/>
    </row>
    <row r="25" ht="19.5" customHeight="1">
      <c r="A25" s="13">
        <v>105.0</v>
      </c>
      <c r="B25" s="19" t="s">
        <v>72</v>
      </c>
      <c r="C25" s="19" t="s">
        <v>57</v>
      </c>
      <c r="D25" s="20">
        <v>42000.0</v>
      </c>
      <c r="E25" s="19" t="s">
        <v>73</v>
      </c>
      <c r="F25" s="43"/>
      <c r="G25" s="44"/>
      <c r="H25" s="3"/>
      <c r="I25" s="44"/>
      <c r="J25" s="44"/>
      <c r="K25" s="44"/>
      <c r="L25" s="44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39.75" customHeight="1">
      <c r="A27" s="31" t="s">
        <v>161</v>
      </c>
      <c r="B27" s="32" t="s">
        <v>162</v>
      </c>
      <c r="C27" s="15"/>
      <c r="D27" s="15"/>
      <c r="E27" s="15"/>
      <c r="F27" s="15"/>
      <c r="G27" s="15"/>
      <c r="H27" s="15"/>
      <c r="I27" s="15"/>
      <c r="J27" s="15"/>
      <c r="K27" s="15"/>
      <c r="L27" s="2"/>
    </row>
    <row r="28" ht="39.75" customHeight="1">
      <c r="A28" s="31" t="s">
        <v>163</v>
      </c>
      <c r="B28" s="32" t="s">
        <v>164</v>
      </c>
      <c r="C28" s="15"/>
      <c r="D28" s="15"/>
      <c r="E28" s="15"/>
      <c r="F28" s="15"/>
      <c r="G28" s="15"/>
      <c r="H28" s="15"/>
      <c r="I28" s="15"/>
      <c r="J28" s="15"/>
      <c r="K28" s="15"/>
      <c r="L28" s="2"/>
    </row>
    <row r="29" ht="39.75" customHeight="1">
      <c r="A29" s="31" t="s">
        <v>165</v>
      </c>
      <c r="B29" s="32" t="s">
        <v>166</v>
      </c>
      <c r="C29" s="15"/>
      <c r="D29" s="15"/>
      <c r="E29" s="15"/>
      <c r="F29" s="15"/>
      <c r="G29" s="15"/>
      <c r="H29" s="15"/>
      <c r="I29" s="15"/>
      <c r="J29" s="15"/>
      <c r="K29" s="15"/>
      <c r="L29" s="2"/>
    </row>
    <row r="30" ht="39.75" customHeight="1">
      <c r="A30" s="31" t="s">
        <v>167</v>
      </c>
      <c r="B30" s="32" t="s">
        <v>168</v>
      </c>
      <c r="C30" s="15"/>
      <c r="D30" s="15"/>
      <c r="E30" s="15"/>
      <c r="F30" s="15"/>
      <c r="G30" s="15"/>
      <c r="H30" s="15"/>
      <c r="I30" s="15"/>
      <c r="J30" s="15"/>
      <c r="K30" s="15"/>
      <c r="L30" s="2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30.0" customHeight="1">
      <c r="A32" s="45" t="s">
        <v>169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"/>
    </row>
    <row r="33" ht="30.0" customHeight="1">
      <c r="A33" s="34" t="s">
        <v>170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4">
    <mergeCell ref="A19:L19"/>
    <mergeCell ref="B27:L27"/>
    <mergeCell ref="B28:L28"/>
    <mergeCell ref="B29:L29"/>
    <mergeCell ref="B30:L30"/>
    <mergeCell ref="A32:L32"/>
    <mergeCell ref="A33:L33"/>
    <mergeCell ref="A1:L1"/>
    <mergeCell ref="A2:L2"/>
    <mergeCell ref="A4:L4"/>
    <mergeCell ref="A13:L13"/>
    <mergeCell ref="B14:L14"/>
    <mergeCell ref="B15:L15"/>
    <mergeCell ref="B16:L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3.0"/>
    <col customWidth="1" min="5" max="5" width="15.0"/>
    <col customWidth="1" min="6" max="7" width="18.0"/>
    <col customWidth="1" min="8" max="8" width="13.0"/>
    <col customWidth="1" min="9" max="9" width="12.0"/>
    <col customWidth="1" min="10" max="12" width="10.0"/>
    <col customWidth="1" min="13" max="26" width="8.71"/>
  </cols>
  <sheetData>
    <row r="1" ht="36.0" customHeight="1">
      <c r="A1" s="46" t="s">
        <v>171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"/>
    </row>
    <row r="2" ht="19.5" customHeight="1">
      <c r="A2" s="4" t="s">
        <v>172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.0" customHeight="1">
      <c r="A4" s="39" t="s">
        <v>173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2"/>
    </row>
    <row r="5" ht="21.75" customHeight="1">
      <c r="A5" s="17" t="s">
        <v>174</v>
      </c>
      <c r="B5" s="17" t="s">
        <v>175</v>
      </c>
      <c r="C5" s="17" t="s">
        <v>176</v>
      </c>
      <c r="D5" s="17" t="s">
        <v>177</v>
      </c>
      <c r="E5" s="3"/>
      <c r="F5" s="3"/>
      <c r="G5" s="3"/>
      <c r="H5" s="3"/>
      <c r="I5" s="3"/>
      <c r="J5" s="3"/>
      <c r="K5" s="3"/>
      <c r="L5" s="3"/>
    </row>
    <row r="6" ht="27.75" customHeight="1">
      <c r="A6" s="47" t="s">
        <v>178</v>
      </c>
      <c r="B6" s="48" t="s">
        <v>179</v>
      </c>
      <c r="C6" s="48" t="s">
        <v>180</v>
      </c>
      <c r="D6" s="48" t="s">
        <v>181</v>
      </c>
      <c r="E6" s="49"/>
      <c r="F6" s="49"/>
      <c r="G6" s="49"/>
      <c r="H6" s="49"/>
      <c r="I6" s="49"/>
      <c r="J6" s="49"/>
      <c r="K6" s="49"/>
      <c r="L6" s="49"/>
    </row>
    <row r="7" ht="27.75" customHeight="1">
      <c r="A7" s="50" t="s">
        <v>182</v>
      </c>
      <c r="B7" s="51" t="s">
        <v>183</v>
      </c>
      <c r="C7" s="51" t="s">
        <v>184</v>
      </c>
      <c r="D7" s="51" t="s">
        <v>185</v>
      </c>
      <c r="E7" s="52"/>
      <c r="F7" s="52"/>
      <c r="G7" s="52"/>
      <c r="H7" s="52"/>
      <c r="I7" s="52"/>
      <c r="J7" s="52"/>
      <c r="K7" s="52"/>
      <c r="L7" s="52"/>
    </row>
    <row r="8" ht="27.75" customHeight="1">
      <c r="A8" s="47" t="s">
        <v>186</v>
      </c>
      <c r="B8" s="48" t="s">
        <v>187</v>
      </c>
      <c r="C8" s="48" t="s">
        <v>188</v>
      </c>
      <c r="D8" s="48" t="s">
        <v>189</v>
      </c>
      <c r="E8" s="49"/>
      <c r="F8" s="49"/>
      <c r="G8" s="49"/>
      <c r="H8" s="49"/>
      <c r="I8" s="49"/>
      <c r="J8" s="49"/>
      <c r="K8" s="49"/>
      <c r="L8" s="49"/>
    </row>
    <row r="9" ht="27.75" customHeight="1">
      <c r="A9" s="50" t="s">
        <v>190</v>
      </c>
      <c r="B9" s="51" t="s">
        <v>191</v>
      </c>
      <c r="C9" s="51" t="s">
        <v>192</v>
      </c>
      <c r="D9" s="51" t="s">
        <v>193</v>
      </c>
      <c r="E9" s="52"/>
      <c r="F9" s="52"/>
      <c r="G9" s="52"/>
      <c r="H9" s="52"/>
      <c r="I9" s="52"/>
      <c r="J9" s="52"/>
      <c r="K9" s="52"/>
      <c r="L9" s="52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9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24.0" customHeight="1">
      <c r="A12" s="27" t="s">
        <v>194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</row>
    <row r="13" ht="36.0" customHeight="1">
      <c r="A13" s="42" t="s">
        <v>45</v>
      </c>
      <c r="B13" s="42" t="s">
        <v>46</v>
      </c>
      <c r="C13" s="42" t="s">
        <v>195</v>
      </c>
      <c r="D13" s="42" t="s">
        <v>196</v>
      </c>
      <c r="E13" s="42" t="s">
        <v>49</v>
      </c>
      <c r="F13" s="42" t="s">
        <v>197</v>
      </c>
      <c r="G13" s="42" t="s">
        <v>198</v>
      </c>
      <c r="H13" s="42" t="s">
        <v>199</v>
      </c>
      <c r="I13" s="42" t="s">
        <v>200</v>
      </c>
      <c r="J13" s="42" t="s">
        <v>76</v>
      </c>
      <c r="K13" s="42"/>
      <c r="L13" s="42"/>
    </row>
    <row r="14" ht="21.75" customHeight="1">
      <c r="A14" s="13">
        <v>101.0</v>
      </c>
      <c r="B14" s="19" t="s">
        <v>52</v>
      </c>
      <c r="C14" s="19" t="s">
        <v>53</v>
      </c>
      <c r="D14" s="20">
        <v>45000.0</v>
      </c>
      <c r="E14" s="19" t="s">
        <v>54</v>
      </c>
      <c r="F14" s="53">
        <v>45672.0</v>
      </c>
      <c r="G14" s="54">
        <f t="shared" ref="G14:G18" si="1">IF(D14="",AVERAGE($D$14:$D$18),D14)</f>
        <v>45000</v>
      </c>
      <c r="H14" s="55">
        <f t="shared" ref="H14:H18" si="2">IF(D14="",MEDIAN($D$14:$D$18),D14)</f>
        <v>45000</v>
      </c>
      <c r="I14" s="56"/>
      <c r="J14" s="56"/>
      <c r="K14" s="56"/>
      <c r="L14" s="56"/>
    </row>
    <row r="15" ht="21.75" customHeight="1">
      <c r="A15" s="57">
        <v>102.0</v>
      </c>
      <c r="B15" s="58" t="s">
        <v>56</v>
      </c>
      <c r="C15" s="58" t="s">
        <v>57</v>
      </c>
      <c r="D15" s="23"/>
      <c r="E15" s="58" t="s">
        <v>58</v>
      </c>
      <c r="F15" s="59">
        <v>45716.0</v>
      </c>
      <c r="G15" s="54">
        <f t="shared" si="1"/>
        <v>41666.66667</v>
      </c>
      <c r="H15" s="55">
        <f t="shared" si="2"/>
        <v>42000</v>
      </c>
      <c r="I15" s="60"/>
      <c r="J15" s="60"/>
      <c r="K15" s="60"/>
      <c r="L15" s="60"/>
    </row>
    <row r="16" ht="21.75" customHeight="1">
      <c r="A16" s="13">
        <v>103.0</v>
      </c>
      <c r="B16" s="19" t="s">
        <v>62</v>
      </c>
      <c r="C16" s="19" t="s">
        <v>63</v>
      </c>
      <c r="D16" s="20">
        <v>38000.0</v>
      </c>
      <c r="E16" s="19" t="s">
        <v>64</v>
      </c>
      <c r="F16" s="53">
        <v>45667.0</v>
      </c>
      <c r="G16" s="54">
        <f t="shared" si="1"/>
        <v>38000</v>
      </c>
      <c r="H16" s="55">
        <f t="shared" si="2"/>
        <v>38000</v>
      </c>
      <c r="I16" s="56"/>
      <c r="J16" s="56"/>
      <c r="K16" s="56"/>
      <c r="L16" s="56"/>
    </row>
    <row r="17" ht="21.75" customHeight="1">
      <c r="A17" s="57">
        <v>104.0</v>
      </c>
      <c r="B17" s="58" t="s">
        <v>67</v>
      </c>
      <c r="C17" s="58" t="s">
        <v>68</v>
      </c>
      <c r="D17" s="23"/>
      <c r="E17" s="58" t="s">
        <v>69</v>
      </c>
      <c r="F17" s="59">
        <v>45721.0</v>
      </c>
      <c r="G17" s="54">
        <f t="shared" si="1"/>
        <v>41666.66667</v>
      </c>
      <c r="H17" s="55">
        <f t="shared" si="2"/>
        <v>42000</v>
      </c>
      <c r="I17" s="60"/>
      <c r="J17" s="60"/>
      <c r="K17" s="60"/>
      <c r="L17" s="60"/>
    </row>
    <row r="18" ht="21.75" customHeight="1">
      <c r="A18" s="13">
        <v>105.0</v>
      </c>
      <c r="B18" s="19" t="s">
        <v>72</v>
      </c>
      <c r="C18" s="19" t="s">
        <v>57</v>
      </c>
      <c r="D18" s="20">
        <v>42000.0</v>
      </c>
      <c r="E18" s="19" t="s">
        <v>73</v>
      </c>
      <c r="F18" s="53">
        <v>45767.0</v>
      </c>
      <c r="G18" s="54">
        <f t="shared" si="1"/>
        <v>42000</v>
      </c>
      <c r="H18" s="55">
        <f t="shared" si="2"/>
        <v>42000</v>
      </c>
      <c r="I18" s="56"/>
      <c r="J18" s="56"/>
      <c r="K18" s="56"/>
      <c r="L18" s="56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9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4.0" customHeight="1">
      <c r="A21" s="27" t="s">
        <v>201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2"/>
    </row>
    <row r="22" ht="30.0" customHeight="1">
      <c r="A22" s="61">
        <f>IF(D14="",AVERAGE($D$14:$D$18),D14)</f>
        <v>45000</v>
      </c>
      <c r="B22" s="32" t="s">
        <v>202</v>
      </c>
      <c r="C22" s="15"/>
      <c r="D22" s="15"/>
      <c r="E22" s="15"/>
      <c r="F22" s="15"/>
      <c r="G22" s="15"/>
      <c r="H22" s="15"/>
      <c r="I22" s="15"/>
      <c r="J22" s="15"/>
      <c r="K22" s="15"/>
      <c r="L22" s="2"/>
    </row>
    <row r="23" ht="30.0" customHeight="1">
      <c r="A23" s="61">
        <f>IF(D14="",MEDIAN($D$14:$D$18),D14)</f>
        <v>45000</v>
      </c>
      <c r="B23" s="32" t="s">
        <v>203</v>
      </c>
      <c r="C23" s="15"/>
      <c r="D23" s="15"/>
      <c r="E23" s="15"/>
      <c r="F23" s="15"/>
      <c r="G23" s="15"/>
      <c r="H23" s="15"/>
      <c r="I23" s="15"/>
      <c r="J23" s="15"/>
      <c r="K23" s="15"/>
      <c r="L23" s="2"/>
    </row>
    <row r="24" ht="30.0" customHeight="1">
      <c r="A24" s="31" t="s">
        <v>204</v>
      </c>
      <c r="B24" s="32" t="s">
        <v>205</v>
      </c>
      <c r="C24" s="15"/>
      <c r="D24" s="15"/>
      <c r="E24" s="15"/>
      <c r="F24" s="15"/>
      <c r="G24" s="15"/>
      <c r="H24" s="15"/>
      <c r="I24" s="15"/>
      <c r="J24" s="15"/>
      <c r="K24" s="15"/>
      <c r="L24" s="2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9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27.75" customHeight="1">
      <c r="A27" s="62" t="s">
        <v>206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"/>
    </row>
    <row r="28" ht="21.75" customHeight="1">
      <c r="A28" s="42" t="s">
        <v>207</v>
      </c>
      <c r="B28" s="42" t="s">
        <v>208</v>
      </c>
      <c r="C28" s="42" t="s">
        <v>209</v>
      </c>
      <c r="D28" s="42" t="s">
        <v>210</v>
      </c>
      <c r="E28" s="42" t="s">
        <v>211</v>
      </c>
      <c r="F28" s="42" t="s">
        <v>212</v>
      </c>
      <c r="G28" s="42" t="s">
        <v>213</v>
      </c>
      <c r="H28" s="42" t="s">
        <v>214</v>
      </c>
      <c r="I28" s="3"/>
      <c r="J28" s="3"/>
      <c r="K28" s="3"/>
      <c r="L28" s="3"/>
    </row>
    <row r="29" ht="24.0" customHeight="1">
      <c r="A29" s="63">
        <v>35000.0</v>
      </c>
      <c r="B29" s="63">
        <v>38000.0</v>
      </c>
      <c r="C29" s="63">
        <v>40000.0</v>
      </c>
      <c r="D29" s="63">
        <v>45000.0</v>
      </c>
      <c r="E29" s="63">
        <f t="shared" ref="E29:E30" si="3">AVERAGE(A29:D29)</f>
        <v>39500</v>
      </c>
      <c r="F29" s="63">
        <f t="shared" ref="F29:F30" si="4">MEDIAN(A29:D29)</f>
        <v>39000</v>
      </c>
      <c r="G29" s="35" t="s">
        <v>215</v>
      </c>
      <c r="H29" s="35" t="s">
        <v>216</v>
      </c>
      <c r="I29" s="3"/>
      <c r="J29" s="3"/>
      <c r="K29" s="3"/>
      <c r="L29" s="3"/>
    </row>
    <row r="30" ht="24.0" customHeight="1">
      <c r="A30" s="64">
        <v>35000.0</v>
      </c>
      <c r="B30" s="64">
        <v>38000.0</v>
      </c>
      <c r="C30" s="64">
        <v>40000.0</v>
      </c>
      <c r="D30" s="64">
        <v>950000.0</v>
      </c>
      <c r="E30" s="65">
        <f t="shared" si="3"/>
        <v>265750</v>
      </c>
      <c r="F30" s="64">
        <f t="shared" si="4"/>
        <v>39000</v>
      </c>
      <c r="G30" s="22" t="s">
        <v>217</v>
      </c>
      <c r="H30" s="28" t="s">
        <v>218</v>
      </c>
      <c r="I30" s="3"/>
      <c r="J30" s="3"/>
      <c r="K30" s="3"/>
      <c r="L30" s="3"/>
    </row>
    <row r="31" ht="30.0" customHeight="1">
      <c r="A31" s="34" t="s">
        <v>219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2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9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4.0" customHeight="1">
      <c r="A34" s="33" t="s">
        <v>220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"/>
    </row>
    <row r="35" ht="39.75" customHeight="1">
      <c r="A35" s="31" t="s">
        <v>221</v>
      </c>
      <c r="B35" s="32" t="s">
        <v>222</v>
      </c>
      <c r="C35" s="15"/>
      <c r="D35" s="15"/>
      <c r="E35" s="15"/>
      <c r="F35" s="15"/>
      <c r="G35" s="15"/>
      <c r="H35" s="15"/>
      <c r="I35" s="15"/>
      <c r="J35" s="15"/>
      <c r="K35" s="15"/>
      <c r="L35" s="2"/>
    </row>
    <row r="36" ht="39.75" customHeight="1">
      <c r="A36" s="31" t="s">
        <v>223</v>
      </c>
      <c r="B36" s="32" t="s">
        <v>224</v>
      </c>
      <c r="C36" s="15"/>
      <c r="D36" s="15"/>
      <c r="E36" s="15"/>
      <c r="F36" s="15"/>
      <c r="G36" s="15"/>
      <c r="H36" s="15"/>
      <c r="I36" s="15"/>
      <c r="J36" s="15"/>
      <c r="K36" s="15"/>
      <c r="L36" s="2"/>
    </row>
    <row r="37" ht="39.75" customHeight="1">
      <c r="A37" s="31" t="s">
        <v>225</v>
      </c>
      <c r="B37" s="32" t="s">
        <v>226</v>
      </c>
      <c r="C37" s="15"/>
      <c r="D37" s="15"/>
      <c r="E37" s="15"/>
      <c r="F37" s="15"/>
      <c r="G37" s="15"/>
      <c r="H37" s="15"/>
      <c r="I37" s="15"/>
      <c r="J37" s="15"/>
      <c r="K37" s="15"/>
      <c r="L37" s="2"/>
    </row>
    <row r="38" ht="39.75" customHeight="1">
      <c r="A38" s="31" t="s">
        <v>227</v>
      </c>
      <c r="B38" s="32" t="s">
        <v>228</v>
      </c>
      <c r="C38" s="15"/>
      <c r="D38" s="15"/>
      <c r="E38" s="15"/>
      <c r="F38" s="15"/>
      <c r="G38" s="15"/>
      <c r="H38" s="15"/>
      <c r="I38" s="15"/>
      <c r="J38" s="15"/>
      <c r="K38" s="15"/>
      <c r="L38" s="2"/>
    </row>
    <row r="39" ht="39.75" customHeight="1">
      <c r="A39" s="31" t="s">
        <v>229</v>
      </c>
      <c r="B39" s="32" t="s">
        <v>230</v>
      </c>
      <c r="C39" s="15"/>
      <c r="D39" s="15"/>
      <c r="E39" s="15"/>
      <c r="F39" s="15"/>
      <c r="G39" s="15"/>
      <c r="H39" s="15"/>
      <c r="I39" s="15"/>
      <c r="J39" s="15"/>
      <c r="K39" s="15"/>
      <c r="L39" s="2"/>
    </row>
    <row r="40" ht="39.75" customHeight="1">
      <c r="A40" s="31" t="s">
        <v>231</v>
      </c>
      <c r="B40" s="32" t="s">
        <v>232</v>
      </c>
      <c r="C40" s="15"/>
      <c r="D40" s="15"/>
      <c r="E40" s="15"/>
      <c r="F40" s="15"/>
      <c r="G40" s="15"/>
      <c r="H40" s="15"/>
      <c r="I40" s="15"/>
      <c r="J40" s="15"/>
      <c r="K40" s="15"/>
      <c r="L40" s="2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7">
    <mergeCell ref="A1:L1"/>
    <mergeCell ref="A2:L2"/>
    <mergeCell ref="A4:L4"/>
    <mergeCell ref="A12:L12"/>
    <mergeCell ref="A21:L21"/>
    <mergeCell ref="B22:L22"/>
    <mergeCell ref="B23:L23"/>
    <mergeCell ref="B38:L38"/>
    <mergeCell ref="B39:L39"/>
    <mergeCell ref="B40:L40"/>
    <mergeCell ref="B24:L24"/>
    <mergeCell ref="A27:L27"/>
    <mergeCell ref="A31:L31"/>
    <mergeCell ref="A34:L34"/>
    <mergeCell ref="B35:L35"/>
    <mergeCell ref="B36:L36"/>
    <mergeCell ref="B37:L3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3.0"/>
    <col customWidth="1" min="5" max="5" width="14.0"/>
    <col customWidth="1" min="6" max="7" width="20.0"/>
    <col customWidth="1" min="8" max="8" width="12.0"/>
    <col customWidth="1" min="9" max="9" width="14.0"/>
    <col customWidth="1" min="10" max="10" width="12.0"/>
    <col customWidth="1" min="11" max="12" width="10.0"/>
    <col customWidth="1" min="13" max="26" width="8.71"/>
  </cols>
  <sheetData>
    <row r="1" ht="36.0" customHeight="1">
      <c r="A1" s="66" t="s">
        <v>233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"/>
    </row>
    <row r="2" ht="19.5" customHeight="1">
      <c r="A2" s="4" t="s">
        <v>234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.0" customHeight="1">
      <c r="A4" s="39" t="s">
        <v>235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2"/>
    </row>
    <row r="5" ht="21.75" customHeight="1">
      <c r="A5" s="17" t="s">
        <v>236</v>
      </c>
      <c r="B5" s="17" t="s">
        <v>237</v>
      </c>
      <c r="C5" s="17" t="s">
        <v>238</v>
      </c>
      <c r="D5" s="17" t="s">
        <v>239</v>
      </c>
      <c r="E5" s="17" t="s">
        <v>240</v>
      </c>
      <c r="F5" s="3"/>
      <c r="G5" s="3"/>
      <c r="H5" s="3"/>
      <c r="I5" s="3"/>
      <c r="J5" s="3"/>
      <c r="K5" s="3"/>
      <c r="L5" s="3"/>
    </row>
    <row r="6" ht="21.75" customHeight="1">
      <c r="A6" s="67" t="str">
        <f>UPPER(A1)</f>
        <v>SHEET 5: MODULE 4 — STANDARDISATION &amp; CONSISTENCY  |  TRAINER DEMO + GUIDED EXERCISE</v>
      </c>
      <c r="B6" s="68" t="s">
        <v>241</v>
      </c>
      <c r="C6" s="68" t="s">
        <v>242</v>
      </c>
      <c r="D6" s="68" t="s">
        <v>243</v>
      </c>
      <c r="E6" s="68" t="s">
        <v>244</v>
      </c>
      <c r="F6" s="44"/>
      <c r="G6" s="44"/>
      <c r="H6" s="44"/>
      <c r="I6" s="44"/>
      <c r="J6" s="44"/>
      <c r="K6" s="44"/>
      <c r="L6" s="44"/>
    </row>
    <row r="7" ht="21.75" customHeight="1">
      <c r="A7" s="69" t="str">
        <f>LOWER(A1)</f>
        <v>sheet 5: module 4 — standardisation &amp; consistency  |  trainer demo + guided exercise</v>
      </c>
      <c r="B7" s="70" t="s">
        <v>245</v>
      </c>
      <c r="C7" s="70" t="s">
        <v>246</v>
      </c>
      <c r="D7" s="70" t="s">
        <v>247</v>
      </c>
      <c r="E7" s="70" t="s">
        <v>248</v>
      </c>
      <c r="F7" s="71"/>
      <c r="G7" s="71"/>
      <c r="H7" s="71"/>
      <c r="I7" s="71"/>
      <c r="J7" s="71"/>
      <c r="K7" s="71"/>
      <c r="L7" s="71"/>
    </row>
    <row r="8" ht="21.75" customHeight="1">
      <c r="A8" s="67" t="str">
        <f>PROPER(A1)</f>
        <v>Sheet 5: Module 4 — Standardisation &amp; Consistency  |  Trainer Demo + Guided Exercise</v>
      </c>
      <c r="B8" s="68" t="s">
        <v>249</v>
      </c>
      <c r="C8" s="68" t="s">
        <v>242</v>
      </c>
      <c r="D8" s="68" t="s">
        <v>250</v>
      </c>
      <c r="E8" s="68" t="s">
        <v>251</v>
      </c>
      <c r="F8" s="44"/>
      <c r="G8" s="44"/>
      <c r="H8" s="44"/>
      <c r="I8" s="44"/>
      <c r="J8" s="44"/>
      <c r="K8" s="44"/>
      <c r="L8" s="44"/>
    </row>
    <row r="9" ht="21.75" customHeight="1">
      <c r="A9" s="69" t="str">
        <f>TRIM(A1)</f>
        <v>SHEET 5: Module 4 — Standardisation &amp; Consistency | Trainer Demo + Guided Exercise</v>
      </c>
      <c r="B9" s="70" t="s">
        <v>252</v>
      </c>
      <c r="C9" s="70" t="s">
        <v>253</v>
      </c>
      <c r="D9" s="70" t="s">
        <v>254</v>
      </c>
      <c r="E9" s="70" t="s">
        <v>255</v>
      </c>
      <c r="F9" s="71"/>
      <c r="G9" s="71"/>
      <c r="H9" s="71"/>
      <c r="I9" s="71"/>
      <c r="J9" s="71"/>
      <c r="K9" s="71"/>
      <c r="L9" s="71"/>
    </row>
    <row r="10" ht="21.75" customHeight="1">
      <c r="A10" s="67" t="str">
        <f>CLEAN(A1)</f>
        <v>SHEET 5: Module 4 — Standardisation &amp; Consistency  |  Trainer Demo + Guided Exercise</v>
      </c>
      <c r="B10" s="68" t="s">
        <v>256</v>
      </c>
      <c r="C10" s="68" t="s">
        <v>257</v>
      </c>
      <c r="D10" s="68" t="s">
        <v>258</v>
      </c>
      <c r="E10" s="68" t="s">
        <v>259</v>
      </c>
      <c r="F10" s="44"/>
      <c r="G10" s="44"/>
      <c r="H10" s="44"/>
      <c r="I10" s="44"/>
      <c r="J10" s="44"/>
      <c r="K10" s="44"/>
      <c r="L10" s="44"/>
    </row>
    <row r="11" ht="21.75" customHeight="1">
      <c r="A11" s="69" t="str">
        <f>PROPER(TRIM(A1))</f>
        <v>Sheet 5: Module 4 — Standardisation &amp; Consistency | Trainer Demo + Guided Exercise</v>
      </c>
      <c r="B11" s="70" t="s">
        <v>260</v>
      </c>
      <c r="C11" s="70" t="s">
        <v>261</v>
      </c>
      <c r="D11" s="70" t="s">
        <v>262</v>
      </c>
      <c r="E11" s="70" t="s">
        <v>263</v>
      </c>
      <c r="F11" s="71"/>
      <c r="G11" s="71"/>
      <c r="H11" s="71"/>
      <c r="I11" s="71"/>
      <c r="J11" s="71"/>
      <c r="K11" s="71"/>
      <c r="L11" s="71"/>
    </row>
    <row r="12" ht="21.75" customHeight="1">
      <c r="A12" s="67" t="str">
        <f>UPPER(TRIM(A1))</f>
        <v>SHEET 5: MODULE 4 — STANDARDISATION &amp; CONSISTENCY | TRAINER DEMO + GUIDED EXERCISE</v>
      </c>
      <c r="B12" s="68" t="s">
        <v>264</v>
      </c>
      <c r="C12" s="68" t="s">
        <v>265</v>
      </c>
      <c r="D12" s="68" t="s">
        <v>266</v>
      </c>
      <c r="E12" s="68" t="s">
        <v>267</v>
      </c>
      <c r="F12" s="44"/>
      <c r="G12" s="44"/>
      <c r="H12" s="44"/>
      <c r="I12" s="44"/>
      <c r="J12" s="44"/>
      <c r="K12" s="44"/>
      <c r="L12" s="44"/>
    </row>
    <row r="13" ht="21.75" customHeight="1">
      <c r="A13" s="69" t="str">
        <f>CLEAN(TRIM(A1))</f>
        <v>SHEET 5: Module 4 — Standardisation &amp; Consistency | Trainer Demo + Guided Exercise</v>
      </c>
      <c r="B13" s="70" t="s">
        <v>268</v>
      </c>
      <c r="C13" s="70" t="s">
        <v>269</v>
      </c>
      <c r="D13" s="70" t="s">
        <v>270</v>
      </c>
      <c r="E13" s="70" t="s">
        <v>271</v>
      </c>
      <c r="F13" s="71"/>
      <c r="G13" s="71"/>
      <c r="H13" s="71"/>
      <c r="I13" s="71"/>
      <c r="J13" s="71"/>
      <c r="K13" s="71"/>
      <c r="L13" s="71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9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4.0" customHeight="1">
      <c r="A16" s="27" t="s">
        <v>272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2"/>
    </row>
    <row r="17" ht="36.0" customHeight="1">
      <c r="A17" s="42" t="s">
        <v>45</v>
      </c>
      <c r="B17" s="42" t="s">
        <v>273</v>
      </c>
      <c r="C17" s="42" t="s">
        <v>274</v>
      </c>
      <c r="D17" s="42" t="s">
        <v>48</v>
      </c>
      <c r="E17" s="42" t="s">
        <v>275</v>
      </c>
      <c r="F17" s="72" t="s">
        <v>276</v>
      </c>
      <c r="G17" s="72" t="s">
        <v>277</v>
      </c>
      <c r="H17" s="72" t="s">
        <v>278</v>
      </c>
      <c r="I17" s="72" t="s">
        <v>279</v>
      </c>
      <c r="J17" s="72"/>
      <c r="K17" s="72"/>
      <c r="L17" s="72"/>
    </row>
    <row r="18" ht="24.0" customHeight="1">
      <c r="A18" s="13">
        <v>101.0</v>
      </c>
      <c r="B18" s="19" t="s">
        <v>52</v>
      </c>
      <c r="C18" s="19" t="s">
        <v>53</v>
      </c>
      <c r="D18" s="20">
        <v>45000.0</v>
      </c>
      <c r="E18" s="19" t="s">
        <v>280</v>
      </c>
      <c r="F18" s="73" t="str">
        <f t="shared" ref="F18:F22" si="1">PROPER(TRIM(B18))</f>
        <v>Rahul Sharma</v>
      </c>
      <c r="G18" s="74" t="str">
        <f t="shared" ref="G18:G22" si="2">UPPER(TRIM(C18))</f>
        <v>IT</v>
      </c>
      <c r="H18" s="75" t="str">
        <f t="shared" ref="H18:H22" si="3">TRIM(E18)</f>
        <v>WB</v>
      </c>
      <c r="I18" s="56"/>
      <c r="J18" s="56"/>
      <c r="K18" s="56"/>
      <c r="L18" s="56"/>
    </row>
    <row r="19" ht="24.0" customHeight="1">
      <c r="A19" s="14">
        <v>102.0</v>
      </c>
      <c r="B19" s="11" t="s">
        <v>56</v>
      </c>
      <c r="C19" s="11" t="s">
        <v>57</v>
      </c>
      <c r="D19" s="14"/>
      <c r="E19" s="11" t="s">
        <v>281</v>
      </c>
      <c r="F19" s="73" t="str">
        <f t="shared" si="1"/>
        <v>Priya Singh</v>
      </c>
      <c r="G19" s="74" t="str">
        <f t="shared" si="2"/>
        <v>HR</v>
      </c>
      <c r="H19" s="75" t="str">
        <f t="shared" si="3"/>
        <v>MH</v>
      </c>
      <c r="I19" s="60"/>
      <c r="J19" s="60"/>
      <c r="K19" s="60"/>
      <c r="L19" s="60"/>
    </row>
    <row r="20" ht="24.0" customHeight="1">
      <c r="A20" s="23">
        <v>103.0</v>
      </c>
      <c r="B20" s="10" t="s">
        <v>62</v>
      </c>
      <c r="C20" s="10" t="s">
        <v>63</v>
      </c>
      <c r="D20" s="24">
        <v>38000.0</v>
      </c>
      <c r="E20" s="10" t="s">
        <v>282</v>
      </c>
      <c r="F20" s="73" t="str">
        <f t="shared" si="1"/>
        <v>Anita Roy</v>
      </c>
      <c r="G20" s="74" t="str">
        <f t="shared" si="2"/>
        <v>FINANCE</v>
      </c>
      <c r="H20" s="75" t="str">
        <f t="shared" si="3"/>
        <v>DL</v>
      </c>
      <c r="I20" s="56"/>
      <c r="J20" s="56"/>
      <c r="K20" s="56"/>
      <c r="L20" s="56"/>
    </row>
    <row r="21" ht="24.0" customHeight="1">
      <c r="A21" s="23">
        <v>104.0</v>
      </c>
      <c r="B21" s="10" t="s">
        <v>67</v>
      </c>
      <c r="C21" s="10" t="s">
        <v>68</v>
      </c>
      <c r="D21" s="23"/>
      <c r="E21" s="10" t="s">
        <v>281</v>
      </c>
      <c r="F21" s="73" t="str">
        <f t="shared" si="1"/>
        <v>Suresh Kumar</v>
      </c>
      <c r="G21" s="74" t="str">
        <f t="shared" si="2"/>
        <v>IT</v>
      </c>
      <c r="H21" s="75" t="str">
        <f t="shared" si="3"/>
        <v>MH</v>
      </c>
      <c r="I21" s="60"/>
      <c r="J21" s="60"/>
      <c r="K21" s="60"/>
      <c r="L21" s="60"/>
    </row>
    <row r="22" ht="24.0" customHeight="1">
      <c r="A22" s="13">
        <v>105.0</v>
      </c>
      <c r="B22" s="19" t="s">
        <v>72</v>
      </c>
      <c r="C22" s="19" t="s">
        <v>57</v>
      </c>
      <c r="D22" s="20">
        <v>42000.0</v>
      </c>
      <c r="E22" s="19" t="s">
        <v>283</v>
      </c>
      <c r="F22" s="73" t="str">
        <f t="shared" si="1"/>
        <v>Meena Joshi</v>
      </c>
      <c r="G22" s="74" t="str">
        <f t="shared" si="2"/>
        <v>HR</v>
      </c>
      <c r="H22" s="75" t="str">
        <f t="shared" si="3"/>
        <v>TN</v>
      </c>
      <c r="I22" s="56"/>
      <c r="J22" s="56"/>
      <c r="K22" s="56"/>
      <c r="L22" s="56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9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24.0" customHeight="1">
      <c r="A25" s="27" t="s">
        <v>284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2"/>
    </row>
    <row r="26" ht="33.75" customHeight="1">
      <c r="A26" s="31" t="s">
        <v>285</v>
      </c>
      <c r="B26" s="32" t="s">
        <v>286</v>
      </c>
      <c r="C26" s="15"/>
      <c r="D26" s="15"/>
      <c r="E26" s="15"/>
      <c r="F26" s="15"/>
      <c r="G26" s="15"/>
      <c r="H26" s="15"/>
      <c r="I26" s="15"/>
      <c r="J26" s="15"/>
      <c r="K26" s="15"/>
      <c r="L26" s="2"/>
    </row>
    <row r="27" ht="33.75" customHeight="1">
      <c r="A27" s="31" t="s">
        <v>287</v>
      </c>
      <c r="B27" s="32" t="s">
        <v>288</v>
      </c>
      <c r="C27" s="15"/>
      <c r="D27" s="15"/>
      <c r="E27" s="15"/>
      <c r="F27" s="15"/>
      <c r="G27" s="15"/>
      <c r="H27" s="15"/>
      <c r="I27" s="15"/>
      <c r="J27" s="15"/>
      <c r="K27" s="15"/>
      <c r="L27" s="2"/>
    </row>
    <row r="28" ht="33.75" customHeight="1">
      <c r="A28" s="31" t="s">
        <v>289</v>
      </c>
      <c r="B28" s="32" t="s">
        <v>290</v>
      </c>
      <c r="C28" s="15"/>
      <c r="D28" s="15"/>
      <c r="E28" s="15"/>
      <c r="F28" s="15"/>
      <c r="G28" s="15"/>
      <c r="H28" s="15"/>
      <c r="I28" s="15"/>
      <c r="J28" s="15"/>
      <c r="K28" s="15"/>
      <c r="L28" s="2"/>
    </row>
    <row r="29" ht="33.75" customHeight="1">
      <c r="A29" s="31" t="s">
        <v>291</v>
      </c>
      <c r="B29" s="32" t="s">
        <v>292</v>
      </c>
      <c r="C29" s="15"/>
      <c r="D29" s="15"/>
      <c r="E29" s="15"/>
      <c r="F29" s="15"/>
      <c r="G29" s="15"/>
      <c r="H29" s="15"/>
      <c r="I29" s="15"/>
      <c r="J29" s="15"/>
      <c r="K29" s="15"/>
      <c r="L29" s="2"/>
    </row>
    <row r="30" ht="33.75" customHeight="1">
      <c r="A30" s="31" t="s">
        <v>293</v>
      </c>
      <c r="B30" s="73" t="s">
        <v>294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3.75" customHeight="1">
      <c r="A31" s="31" t="s">
        <v>295</v>
      </c>
      <c r="B31" s="32" t="s">
        <v>296</v>
      </c>
      <c r="C31" s="15"/>
      <c r="D31" s="15"/>
      <c r="E31" s="15"/>
      <c r="F31" s="15"/>
      <c r="G31" s="15"/>
      <c r="H31" s="15"/>
      <c r="I31" s="15"/>
      <c r="J31" s="15"/>
      <c r="K31" s="15"/>
      <c r="L31" s="2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9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4.0" customHeight="1">
      <c r="A34" s="33" t="s">
        <v>297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"/>
    </row>
    <row r="35" ht="39.75" customHeight="1">
      <c r="A35" s="31" t="s">
        <v>298</v>
      </c>
      <c r="B35" s="32" t="s">
        <v>299</v>
      </c>
      <c r="C35" s="15"/>
      <c r="D35" s="15"/>
      <c r="E35" s="15"/>
      <c r="F35" s="15"/>
      <c r="G35" s="15"/>
      <c r="H35" s="15"/>
      <c r="I35" s="15"/>
      <c r="J35" s="15"/>
      <c r="K35" s="15"/>
      <c r="L35" s="2"/>
    </row>
    <row r="36" ht="39.75" customHeight="1">
      <c r="A36" s="31" t="s">
        <v>300</v>
      </c>
      <c r="B36" s="32" t="s">
        <v>301</v>
      </c>
      <c r="C36" s="15"/>
      <c r="D36" s="15"/>
      <c r="E36" s="15"/>
      <c r="F36" s="15"/>
      <c r="G36" s="15"/>
      <c r="H36" s="15"/>
      <c r="I36" s="15"/>
      <c r="J36" s="15"/>
      <c r="K36" s="15"/>
      <c r="L36" s="2"/>
    </row>
    <row r="37" ht="39.75" customHeight="1">
      <c r="A37" s="31" t="s">
        <v>302</v>
      </c>
      <c r="B37" s="32" t="s">
        <v>303</v>
      </c>
      <c r="C37" s="15"/>
      <c r="D37" s="15"/>
      <c r="E37" s="15"/>
      <c r="F37" s="15"/>
      <c r="G37" s="15"/>
      <c r="H37" s="15"/>
      <c r="I37" s="15"/>
      <c r="J37" s="15"/>
      <c r="K37" s="15"/>
      <c r="L37" s="2"/>
    </row>
    <row r="38" ht="39.75" customHeight="1">
      <c r="A38" s="31" t="s">
        <v>304</v>
      </c>
      <c r="B38" s="32" t="s">
        <v>305</v>
      </c>
      <c r="C38" s="15"/>
      <c r="D38" s="15"/>
      <c r="E38" s="15"/>
      <c r="F38" s="15"/>
      <c r="G38" s="15"/>
      <c r="H38" s="15"/>
      <c r="I38" s="15"/>
      <c r="J38" s="15"/>
      <c r="K38" s="15"/>
      <c r="L38" s="2"/>
    </row>
    <row r="39" ht="39.75" customHeight="1">
      <c r="A39" s="31" t="s">
        <v>231</v>
      </c>
      <c r="B39" s="32" t="s">
        <v>306</v>
      </c>
      <c r="C39" s="15"/>
      <c r="D39" s="15"/>
      <c r="E39" s="15"/>
      <c r="F39" s="15"/>
      <c r="G39" s="15"/>
      <c r="H39" s="15"/>
      <c r="I39" s="15"/>
      <c r="J39" s="15"/>
      <c r="K39" s="15"/>
      <c r="L39" s="2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30.0" customHeight="1">
      <c r="A41" s="45" t="s">
        <v>307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2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7">
    <mergeCell ref="A1:L1"/>
    <mergeCell ref="A2:L2"/>
    <mergeCell ref="A4:L4"/>
    <mergeCell ref="A16:L16"/>
    <mergeCell ref="A25:L25"/>
    <mergeCell ref="B26:L26"/>
    <mergeCell ref="B27:L27"/>
    <mergeCell ref="B38:L38"/>
    <mergeCell ref="B39:L39"/>
    <mergeCell ref="A41:L41"/>
    <mergeCell ref="B28:L28"/>
    <mergeCell ref="B29:L29"/>
    <mergeCell ref="B31:L31"/>
    <mergeCell ref="A34:L34"/>
    <mergeCell ref="B35:L35"/>
    <mergeCell ref="B36:L36"/>
    <mergeCell ref="B37:L37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4.0"/>
    <col customWidth="1" min="4" max="4" width="15.0"/>
    <col customWidth="1" min="5" max="5" width="24.0"/>
    <col customWidth="1" min="6" max="6" width="22.0"/>
    <col customWidth="1" min="7" max="8" width="20.0"/>
    <col customWidth="1" min="9" max="9" width="14.0"/>
    <col customWidth="1" min="10" max="11" width="12.0"/>
    <col customWidth="1" min="12" max="12" width="10.0"/>
    <col customWidth="1" min="13" max="26" width="8.71"/>
  </cols>
  <sheetData>
    <row r="1" ht="36.0" customHeight="1">
      <c r="A1" s="1" t="s">
        <v>308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"/>
    </row>
    <row r="2" ht="19.5" customHeight="1">
      <c r="A2" s="4" t="s">
        <v>309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.0" customHeight="1">
      <c r="A4" s="76" t="s">
        <v>310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2"/>
    </row>
    <row r="5" ht="21.75" customHeight="1">
      <c r="A5" s="17" t="s">
        <v>45</v>
      </c>
      <c r="B5" s="17" t="s">
        <v>46</v>
      </c>
      <c r="C5" s="17" t="s">
        <v>47</v>
      </c>
      <c r="D5" s="17" t="s">
        <v>311</v>
      </c>
      <c r="E5" s="17" t="s">
        <v>312</v>
      </c>
      <c r="F5" s="17" t="s">
        <v>313</v>
      </c>
      <c r="G5" s="17" t="s">
        <v>314</v>
      </c>
      <c r="H5" s="17" t="s">
        <v>315</v>
      </c>
      <c r="I5" s="3"/>
      <c r="J5" s="3"/>
      <c r="K5" s="3"/>
      <c r="L5" s="3"/>
    </row>
    <row r="6" ht="21.75" customHeight="1">
      <c r="A6" s="77">
        <v>201.0</v>
      </c>
      <c r="B6" s="35" t="s">
        <v>316</v>
      </c>
      <c r="C6" s="35" t="s">
        <v>317</v>
      </c>
      <c r="D6" s="78">
        <v>50000.0</v>
      </c>
      <c r="E6" s="35" t="s">
        <v>318</v>
      </c>
      <c r="F6" s="35" t="s">
        <v>319</v>
      </c>
      <c r="G6" s="35" t="s">
        <v>320</v>
      </c>
      <c r="H6" s="35" t="s">
        <v>21</v>
      </c>
      <c r="I6" s="3"/>
      <c r="J6" s="3"/>
      <c r="K6" s="3"/>
      <c r="L6" s="3"/>
    </row>
    <row r="7" ht="21.75" customHeight="1">
      <c r="A7" s="79">
        <v>202.0</v>
      </c>
      <c r="B7" s="80" t="s">
        <v>321</v>
      </c>
      <c r="C7" s="80" t="s">
        <v>322</v>
      </c>
      <c r="D7" s="79"/>
      <c r="E7" s="80" t="s">
        <v>323</v>
      </c>
      <c r="F7" s="80" t="s">
        <v>56</v>
      </c>
      <c r="G7" s="80" t="s">
        <v>324</v>
      </c>
      <c r="H7" s="80" t="s">
        <v>325</v>
      </c>
      <c r="I7" s="3"/>
      <c r="J7" s="3"/>
      <c r="K7" s="3"/>
      <c r="L7" s="3"/>
    </row>
    <row r="8" ht="21.75" customHeight="1">
      <c r="A8" s="81">
        <v>201.0</v>
      </c>
      <c r="B8" s="22" t="s">
        <v>316</v>
      </c>
      <c r="C8" s="22" t="s">
        <v>317</v>
      </c>
      <c r="D8" s="82">
        <v>50000.0</v>
      </c>
      <c r="E8" s="22" t="s">
        <v>318</v>
      </c>
      <c r="F8" s="22" t="s">
        <v>319</v>
      </c>
      <c r="G8" s="22" t="s">
        <v>320</v>
      </c>
      <c r="H8" s="22" t="s">
        <v>326</v>
      </c>
      <c r="I8" s="3"/>
      <c r="J8" s="3"/>
      <c r="K8" s="3"/>
      <c r="L8" s="3"/>
    </row>
    <row r="9" ht="21.75" customHeight="1">
      <c r="A9" s="83">
        <v>203.0</v>
      </c>
      <c r="B9" s="36" t="s">
        <v>327</v>
      </c>
      <c r="C9" s="36" t="s">
        <v>68</v>
      </c>
      <c r="D9" s="84">
        <v>65000.0</v>
      </c>
      <c r="E9" s="36" t="s">
        <v>328</v>
      </c>
      <c r="F9" s="36" t="s">
        <v>329</v>
      </c>
      <c r="G9" s="36" t="s">
        <v>330</v>
      </c>
      <c r="H9" s="36" t="s">
        <v>331</v>
      </c>
      <c r="I9" s="3"/>
      <c r="J9" s="3"/>
      <c r="K9" s="3"/>
      <c r="L9" s="3"/>
    </row>
    <row r="10" ht="21.75" customHeight="1">
      <c r="A10" s="79">
        <v>204.0</v>
      </c>
      <c r="B10" s="80" t="s">
        <v>332</v>
      </c>
      <c r="C10" s="80" t="s">
        <v>333</v>
      </c>
      <c r="D10" s="79"/>
      <c r="E10" s="80" t="s">
        <v>334</v>
      </c>
      <c r="F10" s="80" t="s">
        <v>56</v>
      </c>
      <c r="G10" s="80" t="s">
        <v>335</v>
      </c>
      <c r="H10" s="80" t="s">
        <v>336</v>
      </c>
      <c r="I10" s="3"/>
      <c r="J10" s="3"/>
      <c r="K10" s="3"/>
      <c r="L10" s="3"/>
    </row>
    <row r="11" ht="21.75" customHeight="1">
      <c r="A11" s="83">
        <v>205.0</v>
      </c>
      <c r="B11" s="36" t="s">
        <v>337</v>
      </c>
      <c r="C11" s="36" t="s">
        <v>338</v>
      </c>
      <c r="D11" s="84">
        <v>72000.0</v>
      </c>
      <c r="E11" s="36" t="s">
        <v>339</v>
      </c>
      <c r="F11" s="36" t="s">
        <v>319</v>
      </c>
      <c r="G11" s="36" t="s">
        <v>340</v>
      </c>
      <c r="H11" s="36" t="s">
        <v>341</v>
      </c>
      <c r="I11" s="3"/>
      <c r="J11" s="3"/>
      <c r="K11" s="3"/>
      <c r="L11" s="3"/>
    </row>
    <row r="12" ht="21.75" customHeight="1">
      <c r="A12" s="79">
        <v>206.0</v>
      </c>
      <c r="B12" s="80" t="s">
        <v>342</v>
      </c>
      <c r="C12" s="80" t="s">
        <v>343</v>
      </c>
      <c r="D12" s="79"/>
      <c r="E12" s="80" t="s">
        <v>344</v>
      </c>
      <c r="F12" s="80" t="s">
        <v>56</v>
      </c>
      <c r="G12" s="80" t="s">
        <v>345</v>
      </c>
      <c r="H12" s="80" t="s">
        <v>346</v>
      </c>
      <c r="I12" s="3"/>
      <c r="J12" s="3"/>
      <c r="K12" s="3"/>
      <c r="L12" s="3"/>
    </row>
    <row r="13" ht="21.75" customHeight="1">
      <c r="A13" s="83">
        <v>207.0</v>
      </c>
      <c r="B13" s="36" t="s">
        <v>347</v>
      </c>
      <c r="C13" s="36" t="s">
        <v>333</v>
      </c>
      <c r="D13" s="84">
        <v>58000.0</v>
      </c>
      <c r="E13" s="36" t="s">
        <v>348</v>
      </c>
      <c r="F13" s="36" t="s">
        <v>329</v>
      </c>
      <c r="G13" s="36" t="s">
        <v>349</v>
      </c>
      <c r="H13" s="36" t="s">
        <v>21</v>
      </c>
      <c r="I13" s="3"/>
      <c r="J13" s="3"/>
      <c r="K13" s="3"/>
      <c r="L13" s="3"/>
    </row>
    <row r="14" ht="21.75" customHeight="1">
      <c r="A14" s="79">
        <v>208.0</v>
      </c>
      <c r="B14" s="80" t="s">
        <v>350</v>
      </c>
      <c r="C14" s="80" t="s">
        <v>351</v>
      </c>
      <c r="D14" s="79"/>
      <c r="E14" s="80" t="s">
        <v>352</v>
      </c>
      <c r="F14" s="80" t="s">
        <v>319</v>
      </c>
      <c r="G14" s="80" t="s">
        <v>353</v>
      </c>
      <c r="H14" s="80" t="s">
        <v>354</v>
      </c>
      <c r="I14" s="3"/>
      <c r="J14" s="3"/>
      <c r="K14" s="3"/>
      <c r="L14" s="3"/>
    </row>
    <row r="15" ht="21.75" customHeight="1">
      <c r="A15" s="83">
        <v>209.0</v>
      </c>
      <c r="B15" s="36" t="s">
        <v>355</v>
      </c>
      <c r="C15" s="36" t="s">
        <v>317</v>
      </c>
      <c r="D15" s="84">
        <v>61000.0</v>
      </c>
      <c r="E15" s="36" t="s">
        <v>356</v>
      </c>
      <c r="F15" s="36" t="s">
        <v>56</v>
      </c>
      <c r="G15" s="36" t="s">
        <v>357</v>
      </c>
      <c r="H15" s="36" t="s">
        <v>21</v>
      </c>
      <c r="I15" s="3"/>
      <c r="J15" s="3"/>
      <c r="K15" s="3"/>
      <c r="L15" s="3"/>
    </row>
    <row r="16" ht="9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4.0" customHeight="1">
      <c r="A17" s="33" t="s">
        <v>358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"/>
    </row>
    <row r="18" ht="42.0" customHeight="1">
      <c r="A18" s="31" t="s">
        <v>359</v>
      </c>
      <c r="B18" s="32" t="s">
        <v>360</v>
      </c>
      <c r="C18" s="15"/>
      <c r="D18" s="15"/>
      <c r="E18" s="15"/>
      <c r="F18" s="15"/>
      <c r="G18" s="15"/>
      <c r="H18" s="15"/>
      <c r="I18" s="15"/>
      <c r="J18" s="15"/>
      <c r="K18" s="15"/>
      <c r="L18" s="2"/>
    </row>
    <row r="19" ht="42.0" customHeight="1">
      <c r="A19" s="31" t="s">
        <v>361</v>
      </c>
      <c r="B19" s="32" t="s">
        <v>362</v>
      </c>
      <c r="C19" s="15"/>
      <c r="D19" s="15"/>
      <c r="E19" s="15"/>
      <c r="F19" s="15"/>
      <c r="G19" s="15"/>
      <c r="H19" s="15"/>
      <c r="I19" s="15"/>
      <c r="J19" s="15"/>
      <c r="K19" s="15"/>
      <c r="L19" s="2"/>
    </row>
    <row r="20" ht="42.0" customHeight="1">
      <c r="A20" s="31" t="s">
        <v>363</v>
      </c>
      <c r="B20" s="32" t="s">
        <v>364</v>
      </c>
      <c r="C20" s="15"/>
      <c r="D20" s="15"/>
      <c r="E20" s="15"/>
      <c r="F20" s="15"/>
      <c r="G20" s="15"/>
      <c r="H20" s="15"/>
      <c r="I20" s="15"/>
      <c r="J20" s="15"/>
      <c r="K20" s="15"/>
      <c r="L20" s="2"/>
    </row>
    <row r="21" ht="42.0" customHeight="1">
      <c r="A21" s="31" t="s">
        <v>365</v>
      </c>
      <c r="B21" s="32" t="s">
        <v>366</v>
      </c>
      <c r="C21" s="15"/>
      <c r="D21" s="15"/>
      <c r="E21" s="15"/>
      <c r="F21" s="15"/>
      <c r="G21" s="15"/>
      <c r="H21" s="15"/>
      <c r="I21" s="15"/>
      <c r="J21" s="15"/>
      <c r="K21" s="15"/>
      <c r="L21" s="2"/>
    </row>
    <row r="22" ht="42.0" customHeight="1">
      <c r="A22" s="31" t="s">
        <v>367</v>
      </c>
      <c r="B22" s="32" t="s">
        <v>368</v>
      </c>
      <c r="C22" s="15"/>
      <c r="D22" s="15"/>
      <c r="E22" s="15"/>
      <c r="F22" s="15"/>
      <c r="G22" s="15"/>
      <c r="H22" s="15"/>
      <c r="I22" s="15"/>
      <c r="J22" s="15"/>
      <c r="K22" s="15"/>
      <c r="L22" s="2"/>
    </row>
    <row r="23" ht="42.0" customHeight="1">
      <c r="A23" s="31" t="s">
        <v>369</v>
      </c>
      <c r="B23" s="32" t="s">
        <v>370</v>
      </c>
      <c r="C23" s="15"/>
      <c r="D23" s="15"/>
      <c r="E23" s="15"/>
      <c r="F23" s="15"/>
      <c r="G23" s="15"/>
      <c r="H23" s="15"/>
      <c r="I23" s="15"/>
      <c r="J23" s="15"/>
      <c r="K23" s="15"/>
      <c r="L23" s="2"/>
    </row>
    <row r="24" ht="42.0" customHeight="1">
      <c r="A24" s="31" t="s">
        <v>371</v>
      </c>
      <c r="B24" s="32" t="s">
        <v>372</v>
      </c>
      <c r="C24" s="15"/>
      <c r="D24" s="15"/>
      <c r="E24" s="15"/>
      <c r="F24" s="15"/>
      <c r="G24" s="15"/>
      <c r="H24" s="15"/>
      <c r="I24" s="15"/>
      <c r="J24" s="15"/>
      <c r="K24" s="15"/>
      <c r="L24" s="2"/>
    </row>
    <row r="25" ht="42.0" customHeight="1">
      <c r="A25" s="31" t="s">
        <v>373</v>
      </c>
      <c r="B25" s="32" t="s">
        <v>374</v>
      </c>
      <c r="C25" s="15"/>
      <c r="D25" s="15"/>
      <c r="E25" s="15"/>
      <c r="F25" s="15"/>
      <c r="G25" s="15"/>
      <c r="H25" s="15"/>
      <c r="I25" s="15"/>
      <c r="J25" s="15"/>
      <c r="K25" s="15"/>
      <c r="L25" s="2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30.0" customHeight="1">
      <c r="A27" s="34" t="s">
        <v>375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"/>
    </row>
    <row r="28" ht="30.0" customHeight="1">
      <c r="A28" s="85" t="s">
        <v>376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4">
    <mergeCell ref="B21:L21"/>
    <mergeCell ref="B22:L22"/>
    <mergeCell ref="B23:L23"/>
    <mergeCell ref="B24:L24"/>
    <mergeCell ref="B25:L25"/>
    <mergeCell ref="A27:L27"/>
    <mergeCell ref="A28:L28"/>
    <mergeCell ref="A1:L1"/>
    <mergeCell ref="A2:L2"/>
    <mergeCell ref="A4:L4"/>
    <mergeCell ref="A17:L17"/>
    <mergeCell ref="B18:L18"/>
    <mergeCell ref="B19:L19"/>
    <mergeCell ref="B20:L20"/>
  </mergeCells>
  <printOptions/>
  <pageMargins bottom="1.0" footer="0.0" header="0.0" left="0.75" right="0.75" top="1.0"/>
  <pageSetup paperSize="9" orientation="portrait"/>
  <drawing r:id="rId1"/>
</worksheet>
</file>