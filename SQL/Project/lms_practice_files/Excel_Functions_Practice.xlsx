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Part_I_Data" sheetId="2" r:id="rId6"/>
    <sheet state="visible" name="Summary_P1" sheetId="3" r:id="rId7"/>
    <sheet state="visible" name="Part_II_Data" sheetId="4" r:id="rId8"/>
    <sheet state="visible" name="Product_Catalog" sheetId="5" r:id="rId9"/>
    <sheet state="visible" name="Manager_Table" sheetId="6" r:id="rId10"/>
    <sheet state="visible" name="Part_III_Data" sheetId="7" r:id="rId11"/>
    <sheet state="visible" name="Summary_All" sheetId="8" r:id="rId12"/>
  </sheets>
  <definedNames/>
  <calcPr/>
</workbook>
</file>

<file path=xl/sharedStrings.xml><?xml version="1.0" encoding="utf-8"?>
<sst xmlns="http://schemas.openxmlformats.org/spreadsheetml/2006/main" count="692" uniqueCount="322">
  <si>
    <t>Excel_Functions_Practice.xlsx  |  Complete Practice Workbook</t>
  </si>
  <si>
    <t>Anudip Foundation — Excel Functions (Parts I, II &amp; III)  |  For Learner &amp; Trainer Use</t>
  </si>
  <si>
    <t>YELLOW cell</t>
  </si>
  <si>
    <t>Task instruction — read and follow the step</t>
  </si>
  <si>
    <t>GREEN cell</t>
  </si>
  <si>
    <t>Your formula goes HERE — type in this cell</t>
  </si>
  <si>
    <t>Blue-tinted cell</t>
  </si>
  <si>
    <t>Pre-filled data — do not edit</t>
  </si>
  <si>
    <t>White with border</t>
  </si>
  <si>
    <t>Empty work area — type answers or formulas here</t>
  </si>
  <si>
    <t>Red-tinted cell</t>
  </si>
  <si>
    <t>Important caution or warning</t>
  </si>
  <si>
    <t>Sheet</t>
  </si>
  <si>
    <t>Part / Topic</t>
  </si>
  <si>
    <t>Functions Practiced</t>
  </si>
  <si>
    <t>Part_I_Data</t>
  </si>
  <si>
    <t>Part I — Logical &amp; Conditional</t>
  </si>
  <si>
    <t>AND/OR/NOT, Nested IF, SUMIFS/AVERAGEIFS/COUNTIFS</t>
  </si>
  <si>
    <t>Summary_P1</t>
  </si>
  <si>
    <t>Part I — Summary Exercise Area</t>
  </si>
  <si>
    <t>Pre-built summary table for COUNTIFS/SUMIFS tasks</t>
  </si>
  <si>
    <t>Part_II_Data</t>
  </si>
  <si>
    <t>Part II — Lookup &amp; Reference</t>
  </si>
  <si>
    <t>VLOOKUP, HLOOKUP, MATCH, INDEX, INDEX+MATCH, XLOOKUP</t>
  </si>
  <si>
    <t>Product_Catalog</t>
  </si>
  <si>
    <t>Part II — HLOOKUP Table</t>
  </si>
  <si>
    <t>Horizontal table: months x products</t>
  </si>
  <si>
    <t>Manager_Table</t>
  </si>
  <si>
    <t>Part II — Manager Lookup</t>
  </si>
  <si>
    <t>MATCH and INDEX+MATCH on manager data</t>
  </si>
  <si>
    <t>Part_III_Data</t>
  </si>
  <si>
    <t>Part III — TRANSPOSE &amp; Date/Time</t>
  </si>
  <si>
    <t>TRANSPOSE, TODAY/NOW, DATE, DATEDIF, EOMONTH, NETWORKDAYS, etc.</t>
  </si>
  <si>
    <t>Summary_All</t>
  </si>
  <si>
    <t>Capstone — Full Series Dashboard</t>
  </si>
  <si>
    <t>Integrates Part I+II+III formulas into one dashboard</t>
  </si>
  <si>
    <t>Part I — Employee Dataset  |  Exercises: AND/OR/NOT, Nested Functions, SUMIFS/AVERAGEIFS/COUNTIFS</t>
  </si>
  <si>
    <t>Do NOT edit columns A-K. Type your exercise formulas in columns J onwards (yellow headers).</t>
  </si>
  <si>
    <t>Emp_ID</t>
  </si>
  <si>
    <t>Employee Name</t>
  </si>
  <si>
    <t>Department</t>
  </si>
  <si>
    <t>Score</t>
  </si>
  <si>
    <t>Attendance %</t>
  </si>
  <si>
    <t>Salary</t>
  </si>
  <si>
    <t>Join Year</t>
  </si>
  <si>
    <t>Region</t>
  </si>
  <si>
    <t>Status</t>
  </si>
  <si>
    <t>Scholarship Eligible</t>
  </si>
  <si>
    <t>Priority Review</t>
  </si>
  <si>
    <t>Active Flag</t>
  </si>
  <si>
    <t>Bonus Eligible</t>
  </si>
  <si>
    <t>Grade</t>
  </si>
  <si>
    <t>Above Avg Flag</t>
  </si>
  <si>
    <t>Top Performer</t>
  </si>
  <si>
    <t>Tier</t>
  </si>
  <si>
    <t>E001</t>
  </si>
  <si>
    <t>Ananya Sharma</t>
  </si>
  <si>
    <t>HR</t>
  </si>
  <si>
    <t>North</t>
  </si>
  <si>
    <t>Active</t>
  </si>
  <si>
    <t>E002</t>
  </si>
  <si>
    <t>Ravi Kumar</t>
  </si>
  <si>
    <t>Sales</t>
  </si>
  <si>
    <t>South</t>
  </si>
  <si>
    <t>E003</t>
  </si>
  <si>
    <t>Priya Menon</t>
  </si>
  <si>
    <t>IT</t>
  </si>
  <si>
    <t>East</t>
  </si>
  <si>
    <t>E004</t>
  </si>
  <si>
    <t>Vikram Singh</t>
  </si>
  <si>
    <t>Finance</t>
  </si>
  <si>
    <t>West</t>
  </si>
  <si>
    <t>E005</t>
  </si>
  <si>
    <t>Sara Khan</t>
  </si>
  <si>
    <t>Ops</t>
  </si>
  <si>
    <t>E006</t>
  </si>
  <si>
    <t>Arjun Patel</t>
  </si>
  <si>
    <t>E007</t>
  </si>
  <si>
    <t>Meera Iyer</t>
  </si>
  <si>
    <t>E008</t>
  </si>
  <si>
    <t>Kiran Rao</t>
  </si>
  <si>
    <t>Inactive</t>
  </si>
  <si>
    <t>E009</t>
  </si>
  <si>
    <t>Sneha Pillai</t>
  </si>
  <si>
    <t>E010</t>
  </si>
  <si>
    <t>Rohit Das</t>
  </si>
  <si>
    <t>E011</t>
  </si>
  <si>
    <t>Deepa Nair</t>
  </si>
  <si>
    <t>E012</t>
  </si>
  <si>
    <t>Manoj Verma</t>
  </si>
  <si>
    <t>E013</t>
  </si>
  <si>
    <t>Shalini Gupta</t>
  </si>
  <si>
    <t>E014</t>
  </si>
  <si>
    <t>Ajay Rao</t>
  </si>
  <si>
    <t>E015</t>
  </si>
  <si>
    <t>Fatima Sheikh</t>
  </si>
  <si>
    <t>E016</t>
  </si>
  <si>
    <t>Suresh Pillai</t>
  </si>
  <si>
    <t>E017</t>
  </si>
  <si>
    <t>Kavitha Nair</t>
  </si>
  <si>
    <t>E018</t>
  </si>
  <si>
    <t>Rahul Mehta</t>
  </si>
  <si>
    <t>E019</t>
  </si>
  <si>
    <t>Neha Joshi</t>
  </si>
  <si>
    <t>E020</t>
  </si>
  <si>
    <t>Arun Krishnan</t>
  </si>
  <si>
    <t>E021</t>
  </si>
  <si>
    <t>Pooja Reddy</t>
  </si>
  <si>
    <t>E022</t>
  </si>
  <si>
    <t>Sanjay Gupta</t>
  </si>
  <si>
    <t>E023</t>
  </si>
  <si>
    <t>Divya Menon</t>
  </si>
  <si>
    <t>E024</t>
  </si>
  <si>
    <t>Ashish Shah</t>
  </si>
  <si>
    <t>E025</t>
  </si>
  <si>
    <t>Lakshmi Devi</t>
  </si>
  <si>
    <t>E026</t>
  </si>
  <si>
    <t>Ganesh Rao</t>
  </si>
  <si>
    <t>E027</t>
  </si>
  <si>
    <t>Sunita Patel</t>
  </si>
  <si>
    <t>E028</t>
  </si>
  <si>
    <t>Mohan Das</t>
  </si>
  <si>
    <t>E029</t>
  </si>
  <si>
    <t>Rekha Pillai</t>
  </si>
  <si>
    <t>E030</t>
  </si>
  <si>
    <t>Aditya Kumar</t>
  </si>
  <si>
    <t>← Exercise 1 Task 1 - AND</t>
  </si>
  <si>
    <t>← Exercise 1 Task 2 - OR</t>
  </si>
  <si>
    <t>← Exercise 1 Task 3 - NOT</t>
  </si>
  <si>
    <t>← Exercise 1 Task 4 - Combined</t>
  </si>
  <si>
    <t>← Exercise 2 Task 1 - Nested IF</t>
  </si>
  <si>
    <t>← Exercise 2 Task 2 - Nested AVG</t>
  </si>
  <si>
    <t>← Exercise 2 Task 3 - MAX</t>
  </si>
  <si>
    <t>← Exercise 2 Task 4 - AND+IFS</t>
  </si>
  <si>
    <t>EXERCISE INSTRUCTIONS — Type your formulas in the purple-headed columns above</t>
  </si>
  <si>
    <t>Ex1 T1 — AND (col J):</t>
  </si>
  <si>
    <t>Ex1 T2 — OR (col K):</t>
  </si>
  <si>
    <t>Ex1 T3 — NOT (col L):</t>
  </si>
  <si>
    <t>Ex1 T4 — COMBINED (col M):</t>
  </si>
  <si>
    <t>Ex2 T1 — Grade (col N):</t>
  </si>
  <si>
    <t>Ex2 T2 — Above Avg (col O):</t>
  </si>
  <si>
    <t>Ex2 T3 — Top Performer (col P):</t>
  </si>
  <si>
    <t>Ex2 T4 — Tier (col Q):</t>
  </si>
  <si>
    <t>Summary Exercise — SUMIFS, AVERAGEIFS, COUNTIFS</t>
  </si>
  <si>
    <t>Complete the green cells with COUNTIFS / SUMIFS / AVERAGEIFS formulas. Reference Part_I_Data for all ranges.</t>
  </si>
  <si>
    <t>Task</t>
  </si>
  <si>
    <t>Your Formula (green cell)</t>
  </si>
  <si>
    <t>Question</t>
  </si>
  <si>
    <t>S1 — COUNTIFS</t>
  </si>
  <si>
    <t>How many employees are in the Sales department?</t>
  </si>
  <si>
    <t xml:space="preserve">  Expected formula:</t>
  </si>
  <si>
    <t>S2 — COUNTIFS (2 criteria)</t>
  </si>
  <si>
    <t>How many Active employees scored more than 70?</t>
  </si>
  <si>
    <t>S3 — COUNTIFS (3 criteria)</t>
  </si>
  <si>
    <t>How many IT employees in North region who joined after 2020?</t>
  </si>
  <si>
    <t>S4 — COUNTIFS (same column twice)</t>
  </si>
  <si>
    <t>How many employees have score between 60 and 80 inclusive?</t>
  </si>
  <si>
    <t>S5 — SUMIFS</t>
  </si>
  <si>
    <t>Total salary for HR employees in South region?</t>
  </si>
  <si>
    <t>S6 — SUMIFS (2 criteria)</t>
  </si>
  <si>
    <t>Total salary for Active employees with score &gt;= 80?</t>
  </si>
  <si>
    <t>S7 — AVERAGEIFS</t>
  </si>
  <si>
    <t>Average score of Active Finance employees?</t>
  </si>
  <si>
    <t>S8 — AVERAGEIFS (2 criteria)</t>
  </si>
  <si>
    <t>Average salary in Ops dept for attendance &gt;= 85%?</t>
  </si>
  <si>
    <t>DYNAMIC DASHBOARD — Type Dept in E4 and Region in E5. Formulas auto-update.</t>
  </si>
  <si>
    <t>Department Filter:</t>
  </si>
  <si>
    <t>Region Filter:</t>
  </si>
  <si>
    <t>Count (filtered):</t>
  </si>
  <si>
    <t>← Change E4/E5 to see live results</t>
  </si>
  <si>
    <t>Total Salary:</t>
  </si>
  <si>
    <t>Avg Score:</t>
  </si>
  <si>
    <t>Part II — Lookup Dataset  |  Exercises: VLOOKUP, HLOOKUP, MATCH, INDEX, INDEX+MATCH, XLOOKUP</t>
  </si>
  <si>
    <t>Employee Table (A-G) is the lookup source. Use the Lookup_Area (columns I onwards) for exercise formulas.</t>
  </si>
  <si>
    <t>City</t>
  </si>
  <si>
    <t>Manager_ID</t>
  </si>
  <si>
    <t>Join_Date</t>
  </si>
  <si>
    <t>Lookup ID</t>
  </si>
  <si>
    <t>Name (VLOOKUP)</t>
  </si>
  <si>
    <t>Dept (VLOOKUP)</t>
  </si>
  <si>
    <t>Salary (VLOOKUP)</t>
  </si>
  <si>
    <t>Error Safe (IFERROR)</t>
  </si>
  <si>
    <t>Name (XLOOKUP)</t>
  </si>
  <si>
    <t>MATCH Position</t>
  </si>
  <si>
    <t>Name (INDEX)</t>
  </si>
  <si>
    <t>City (INDEX+MATCH)</t>
  </si>
  <si>
    <t>Gurugram</t>
  </si>
  <si>
    <t>M001</t>
  </si>
  <si>
    <t>Chennai</t>
  </si>
  <si>
    <t>M002</t>
  </si>
  <si>
    <t>Kolkata</t>
  </si>
  <si>
    <t>M003</t>
  </si>
  <si>
    <t>Pune</t>
  </si>
  <si>
    <t>M004</t>
  </si>
  <si>
    <t>Noida</t>
  </si>
  <si>
    <t>M005</t>
  </si>
  <si>
    <t>Bhubaneswar</t>
  </si>
  <si>
    <t>Ahmedabad</t>
  </si>
  <si>
    <t>Delhi</t>
  </si>
  <si>
    <t>Z999</t>
  </si>
  <si>
    <t>EXERCISE INSTRUCTIONS — Type formulas in columns J-Q for the Lookup IDs in column I</t>
  </si>
  <si>
    <t>Ex4 T1 — VLOOKUP Name (col J):</t>
  </si>
  <si>
    <t>Ex4 T2 — VLOOKUP Dept (col K):</t>
  </si>
  <si>
    <t>Ex4 T3 — VLOOKUP Salary (col L):</t>
  </si>
  <si>
    <t>Ex4 T4 — IFERROR (col M):</t>
  </si>
  <si>
    <t>Ex9 T1 — XLOOKUP (col N):</t>
  </si>
  <si>
    <t>Ex6 T1 — MATCH Position (col O):</t>
  </si>
  <si>
    <t>Ex7 T1 — INDEX Name (col P):</t>
  </si>
  <si>
    <t>Ex8 T1 — INDEX+MATCH City (col Q):</t>
  </si>
  <si>
    <t>BONUS — Two-way lookup:</t>
  </si>
  <si>
    <t>In cell S4: type an Emp_ID. In T4: type a column header name. Formula: =INDEX(A3:G33,MATCH(S4,A3:A33,0),MATCH(T4,A3:G3,0))</t>
  </si>
  <si>
    <t>Patna</t>
  </si>
  <si>
    <t>Product_Catalog — HLOOKUP Practice  |  Price Matrix: Products (rows) x Months (columns)</t>
  </si>
  <si>
    <t>HLOOKUP searches the FIRST ROW (months). row_index_num counts from row 1 of the table.</t>
  </si>
  <si>
    <t>Product /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</si>
  <si>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</si>
  <si>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</si>
  <si>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</si>
  <si>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</si>
  <si>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</si>
  <si>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</si>
  <si>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</si>
  <si>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</si>
  <si>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</si>
  <si>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</si>
  <si>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</si>
  <si>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</si>
  <si>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Laptops</t>
  </si>
  <si>
    <t>Mobiles</t>
  </si>
  <si>
    <t>Tablets</t>
  </si>
  <si>
    <t>Accessories</t>
  </si>
  <si>
    <t>Software</t>
  </si>
  <si>
    <t>HLOOKUP EXERCISE AREA</t>
  </si>
  <si>
    <t>Ex5 T1 — Laptops in June:</t>
  </si>
  <si>
    <t>In N4: =HLOOKUP("Jun", $A$3:$M$7, 2, FALSE)</t>
  </si>
  <si>
    <t>Ex5 T2 — Tablets in September:</t>
  </si>
  <si>
    <t>In N5: =HLOOKUP("Sep", $A$3:$M$7, 4, FALSE)</t>
  </si>
  <si>
    <t>Ex5 T3 — Dynamic month lookup:</t>
  </si>
  <si>
    <t>Type a month name in Q3. In Q4: =HLOOKUP(Q3,$A$3:$M$7,3,FALSE) (Mobiles price)</t>
  </si>
  <si>
    <t>Ex5 T4 — Error handling:</t>
  </si>
  <si>
    <t>Row index: Laptops=2, Mobiles=3, Tablets=4, Accessories=5, Software=6. Count from ROW 1 of table (the month header row).</t>
  </si>
  <si>
    <t>Manager_Table — MATCH and INDEX+MATCH Practice</t>
  </si>
  <si>
    <t>LEFT lookup: find Manager Name given a Region. Two-way: find any field by any identifier.</t>
  </si>
  <si>
    <t>Manager_Name</t>
  </si>
  <si>
    <t>Dept_Head</t>
  </si>
  <si>
    <t>Phone_Ext</t>
  </si>
  <si>
    <t>1001</t>
  </si>
  <si>
    <t>1002</t>
  </si>
  <si>
    <t>1003</t>
  </si>
  <si>
    <t>1004</t>
  </si>
  <si>
    <t>1005</t>
  </si>
  <si>
    <t>M006</t>
  </si>
  <si>
    <t>1006</t>
  </si>
  <si>
    <t>M007</t>
  </si>
  <si>
    <t>1007</t>
  </si>
  <si>
    <t>M008</t>
  </si>
  <si>
    <t>1008</t>
  </si>
  <si>
    <t>M009</t>
  </si>
  <si>
    <t>1009</t>
  </si>
  <si>
    <t>M010</t>
  </si>
  <si>
    <t>1010</t>
  </si>
  <si>
    <t>EXERCISE AREA — MATCH, INDEX, INDEX+MATCH (left and right lookup)</t>
  </si>
  <si>
    <t>Ex6 — MATCH (find position):</t>
  </si>
  <si>
    <t>Ex7 — INDEX (get value at position):</t>
  </si>
  <si>
    <t>Ex8 — INDEX+MATCH (right lookup):</t>
  </si>
  <si>
    <t>Ex8 — LEFT lookup (value left of key):</t>
  </si>
  <si>
    <t>Ex8 — Dynamic two-way:</t>
  </si>
  <si>
    <t>Type a Manager_ID in G4. Formula in G5: =INDEX(A4:E13,MATCH(G4,A4:A13,0),MATCH(G6,A3:E3,0))</t>
  </si>
  <si>
    <t>Part III — Date &amp; Time Dataset  |  TRANSPOSE, TODAY/NOW, DATE, DATEDIF, EOMONTH, NETWORKDAYS, WORKDAY, WEEKDAY, TEXT</t>
  </si>
  <si>
    <t>Columns A-H are the data source. Exercise formula columns (I onwards) are yellow-headed.</t>
  </si>
  <si>
    <t>Project_Deadline</t>
  </si>
  <si>
    <t>Last_Review_Date</t>
  </si>
  <si>
    <t>Join Month</t>
  </si>
  <si>
    <t>Join Day</t>
  </si>
  <si>
    <t>New This Year?</t>
  </si>
  <si>
    <t>Days Since Review</t>
  </si>
  <si>
    <t>Years Service</t>
  </si>
  <si>
    <t>Full Tenure</t>
  </si>
  <si>
    <t>Sr/Jr Flag</t>
  </si>
  <si>
    <t>Days to Deadline</t>
  </si>
  <si>
    <t>Deadline Status</t>
  </si>
  <si>
    <t>Working Days</t>
  </si>
  <si>
    <t>Prep Start Date</t>
  </si>
  <si>
    <t>Day of Week</t>
  </si>
  <si>
    <t>Join Date Text</t>
  </si>
  <si>
    <t>EXERCISE INSTRUCTIONS — Type your date formulas in the purple-headed columns above</t>
  </si>
  <si>
    <t>Ex10 T1 — TRANSPOSE:</t>
  </si>
  <si>
    <t>Navigate to the Monthly_Sales_Table below. In cell X4: =TRANSPOSE(monthly_table_range) — spills automatically (Excel 365).</t>
  </si>
  <si>
    <t>Ex11 T1 — TODAY/NOW:</t>
  </si>
  <si>
    <t>In empty cells: =TODAY() and =NOW(). Also: ="Report: "&amp;TEXT(TODAY(),"DD-MMM-YYYY")</t>
  </si>
  <si>
    <t>Ex11 T2 — YEAR/MONTH/DAY (I,J,K):</t>
  </si>
  <si>
    <t>Ex11 T3 — New This Year (col L):</t>
  </si>
  <si>
    <t>Ex11 T5 — Days Since Review (col M):</t>
  </si>
  <si>
    <t>Ex12 T1 — Years Service (col N):</t>
  </si>
  <si>
    <t>Ex12 T2 — Full Tenure (col O):</t>
  </si>
  <si>
    <t>Ex12 T3 — Senior/Junior (col P):</t>
  </si>
  <si>
    <t>Ex12 T4 — Days to Deadline (col Q):</t>
  </si>
  <si>
    <t>Ex12 T4 — Status Flag (col R):</t>
  </si>
  <si>
    <t>Ex13 T1 — Working Days (col S):</t>
  </si>
  <si>
    <t>Ex13 T4 — Prep Start (col T):</t>
  </si>
  <si>
    <t>Ex13 T5 — Day Name (col U):</t>
  </si>
  <si>
    <t>Ex14 T2 — Join Date Text (col V):</t>
  </si>
  <si>
    <t>Monthly_Sales_Table — Source for TRANSPOSE Exercise (horizontal format)</t>
  </si>
  <si>
    <t>Region / Month</t>
  </si>
  <si>
    <t>CAPSTONE DASHBOARD — Complete All 10 Formulas Using Functions from All 3 Parts</t>
  </si>
  <si>
    <t>Each formula integrates concepts from Part I, II, and III. Yellow = task. Green = your formula area.</t>
  </si>
  <si>
    <t>Your Formula (type here)</t>
  </si>
  <si>
    <t>Question / Expected Formula</t>
  </si>
  <si>
    <t>C1 — COUNTIFS (Part I):</t>
  </si>
  <si>
    <t>C2 — SUMIFS (Part I):</t>
  </si>
  <si>
    <t>C3 — AVERAGEIFS (Part I):</t>
  </si>
  <si>
    <t>C4 — XLOOKUP (Part II):</t>
  </si>
  <si>
    <t>C5 — INDEX+MATCH (Part II):</t>
  </si>
  <si>
    <t>C6 — COUNTIF+DATEDIF (Part III):</t>
  </si>
  <si>
    <t>C7 — NETWORKDAYS (Part III):</t>
  </si>
  <si>
    <t>C8 — TEXT+TODAY (Part III):</t>
  </si>
  <si>
    <t>C9 — SUMPRODUCT+YEAR (Part I+III):</t>
  </si>
  <si>
    <t>C10 — INDEX+MATCH+MAX (Part II+III):</t>
  </si>
  <si>
    <t>--- REFERENCE ---</t>
  </si>
  <si>
    <t>Employee ID to Lookup:</t>
  </si>
  <si>
    <t>← Change this ID to test C4 and C5</t>
  </si>
  <si>
    <t>REMINDER: C4 and C5 reference cell B8 (the 'Employee ID to Lookup' row). Change B8 to any valid Emp_ID to test different lookups.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</si>
</sst>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24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0.0"/>
      <color rgb="FFFFFFFF"/>
      <name val="Arial"/>
    </font>
    <font>
      <b/>
      <sz val="10.0"/>
      <color rgb="FF92400E"/>
      <name val="Arial"/>
    </font>
    <font>
      <sz val="10.0"/>
      <color rgb="FF92400E"/>
      <name val="Arial"/>
    </font>
    <font>
      <b/>
      <sz val="10.0"/>
      <color rgb="FF15803D"/>
      <name val="Arial"/>
    </font>
    <font>
      <sz val="10.0"/>
      <color rgb="FF15803D"/>
      <name val="Arial"/>
    </font>
    <font>
      <b/>
      <sz val="10.0"/>
      <color rgb="FF1D4ED8"/>
      <name val="Arial"/>
    </font>
    <font>
      <sz val="10.0"/>
      <color rgb="FF1D4ED8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B91C1C"/>
      <name val="Arial"/>
    </font>
    <font>
      <sz val="10.0"/>
      <color rgb="FFB91C1C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sz val="11.0"/>
      <color theme="1"/>
      <name val="Calibri"/>
    </font>
    <font>
      <i/>
      <sz val="8.0"/>
      <color rgb="FF92400E"/>
      <name val="Arial"/>
    </font>
    <font>
      <b/>
      <sz val="11.0"/>
      <color rgb="FFFFFFFF"/>
      <name val="Arial"/>
    </font>
    <font>
      <b/>
      <sz val="9.0"/>
      <color rgb="FF92400E"/>
      <name val="Arial"/>
    </font>
    <font>
      <sz val="9.0"/>
      <color rgb="FF15803D"/>
      <name val="Arial"/>
    </font>
    <font>
      <sz val="9.0"/>
      <color rgb="FF1D4ED8"/>
      <name val="Arial"/>
    </font>
    <font>
      <i/>
      <sz val="9.0"/>
      <color rgb="FF1D4ED8"/>
      <name val="Arial"/>
    </font>
    <font>
      <i/>
      <sz val="9.0"/>
      <color rgb="FF92400E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1D4ED8"/>
        <bgColor rgb="FF1D4ED8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EEF3F9"/>
        <bgColor rgb="FFEEF3F9"/>
      </patternFill>
    </fill>
    <fill>
      <patternFill patternType="solid">
        <fgColor rgb="FF6D28D9"/>
        <bgColor rgb="FF6D28D9"/>
      </patternFill>
    </fill>
    <fill>
      <patternFill patternType="solid">
        <fgColor rgb="FFFFFFF0"/>
        <bgColor rgb="FFFFFFF0"/>
      </patternFill>
    </fill>
    <fill>
      <patternFill patternType="solid">
        <fgColor rgb="FFB91C1C"/>
        <bgColor rgb="FFB91C1C"/>
      </patternFill>
    </fill>
    <fill>
      <patternFill patternType="solid">
        <fgColor rgb="FF1E40AF"/>
        <bgColor rgb="FF1E40AF"/>
      </patternFill>
    </fill>
    <fill>
      <patternFill patternType="solid">
        <fgColor rgb="FF7C3AED"/>
        <bgColor rgb="FF7C3AED"/>
      </patternFill>
    </fill>
    <fill>
      <patternFill patternType="solid">
        <fgColor rgb="FFC2410C"/>
        <bgColor rgb="FFC2410C"/>
      </patternFill>
    </fill>
    <fill>
      <patternFill patternType="solid">
        <fgColor rgb="FF0F766E"/>
        <bgColor rgb="FF0F766E"/>
      </patternFill>
    </fill>
    <fill>
      <patternFill patternType="solid">
        <fgColor rgb="FF15803D"/>
        <bgColor rgb="FF15803D"/>
      </patternFill>
    </fill>
    <fill>
      <patternFill patternType="solid">
        <fgColor rgb="FFD97706"/>
        <bgColor rgb="FFD97706"/>
      </patternFill>
    </fill>
    <fill>
      <patternFill patternType="solid">
        <fgColor rgb="FFF0FFF4"/>
        <bgColor rgb="FFF0FFF4"/>
      </patternFill>
    </fill>
  </fills>
  <borders count="6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ill="1" applyFont="1">
      <alignment horizontal="left" shrinkToFit="0" vertical="center" wrapText="1"/>
    </xf>
    <xf borderId="3" fillId="4" fontId="5" numFmtId="0" xfId="0" applyAlignment="1" applyBorder="1" applyFont="1">
      <alignment horizontal="left" shrinkToFit="0" vertical="center" wrapText="1"/>
    </xf>
    <xf borderId="3" fillId="5" fontId="6" numFmtId="0" xfId="0" applyAlignment="1" applyBorder="1" applyFill="1" applyFont="1">
      <alignment horizontal="left" shrinkToFit="0" vertical="center" wrapText="1"/>
    </xf>
    <xf borderId="3" fillId="5" fontId="7" numFmtId="0" xfId="0" applyAlignment="1" applyBorder="1" applyFont="1">
      <alignment horizontal="left" shrinkToFit="0" vertical="center" wrapText="1"/>
    </xf>
    <xf borderId="3" fillId="6" fontId="8" numFmtId="0" xfId="0" applyAlignment="1" applyBorder="1" applyFill="1" applyFont="1">
      <alignment horizontal="left" shrinkToFit="0" vertical="center" wrapText="1"/>
    </xf>
    <xf borderId="3" fillId="6" fontId="9" numFmtId="0" xfId="0" applyAlignment="1" applyBorder="1" applyFont="1">
      <alignment horizontal="left" shrinkToFit="0" vertical="center" wrapText="1"/>
    </xf>
    <xf borderId="3" fillId="7" fontId="10" numFmtId="0" xfId="0" applyAlignment="1" applyBorder="1" applyFill="1" applyFont="1">
      <alignment horizontal="left" shrinkToFit="0" vertical="center" wrapText="1"/>
    </xf>
    <xf borderId="3" fillId="7" fontId="11" numFmtId="0" xfId="0" applyAlignment="1" applyBorder="1" applyFont="1">
      <alignment horizontal="left" shrinkToFit="0" vertical="center" wrapText="1"/>
    </xf>
    <xf borderId="3" fillId="8" fontId="12" numFmtId="0" xfId="0" applyAlignment="1" applyBorder="1" applyFill="1" applyFont="1">
      <alignment horizontal="left" shrinkToFit="0" vertical="center" wrapText="1"/>
    </xf>
    <xf borderId="3" fillId="8" fontId="13" numFmtId="0" xfId="0" applyAlignment="1" applyBorder="1" applyFont="1">
      <alignment horizontal="left" shrinkToFit="0" vertical="center" wrapText="1"/>
    </xf>
    <xf borderId="3" fillId="2" fontId="14" numFmtId="0" xfId="0" applyAlignment="1" applyBorder="1" applyFont="1">
      <alignment horizontal="center" shrinkToFit="0" vertical="center" wrapText="1"/>
    </xf>
    <xf borderId="3" fillId="9" fontId="11" numFmtId="0" xfId="0" applyAlignment="1" applyBorder="1" applyFill="1" applyFont="1">
      <alignment horizontal="left" shrinkToFit="0" vertical="center" wrapText="1"/>
    </xf>
    <xf borderId="4" fillId="0" fontId="2" numFmtId="0" xfId="0" applyBorder="1" applyFont="1"/>
    <xf borderId="3" fillId="10" fontId="15" numFmtId="0" xfId="0" applyAlignment="1" applyBorder="1" applyFill="1" applyFont="1">
      <alignment horizontal="center" shrinkToFit="0" vertical="center" wrapText="1"/>
    </xf>
    <xf borderId="3" fillId="9" fontId="11" numFmtId="0" xfId="0" applyAlignment="1" applyBorder="1" applyFont="1">
      <alignment horizontal="center" shrinkToFit="0" vertical="center" wrapText="1"/>
    </xf>
    <xf borderId="3" fillId="9" fontId="11" numFmtId="9" xfId="0" applyAlignment="1" applyBorder="1" applyFont="1" applyNumberFormat="1">
      <alignment horizontal="left" shrinkToFit="0" vertical="center" wrapText="1"/>
    </xf>
    <xf borderId="3" fillId="9" fontId="11" numFmtId="3" xfId="0" applyAlignment="1" applyBorder="1" applyFont="1" applyNumberFormat="1">
      <alignment horizontal="left" shrinkToFit="0" vertical="center" wrapText="1"/>
    </xf>
    <xf borderId="3" fillId="11" fontId="11" numFmtId="0" xfId="0" applyAlignment="1" applyBorder="1" applyFill="1" applyFont="1">
      <alignment horizontal="left" shrinkToFit="0" vertical="center" wrapText="1"/>
    </xf>
    <xf borderId="3" fillId="11" fontId="16" numFmtId="0" xfId="0" applyAlignment="1" applyBorder="1" applyFont="1">
      <alignment shrinkToFit="0" vertical="bottom" wrapText="0"/>
    </xf>
    <xf borderId="3" fillId="7" fontId="11" numFmtId="0" xfId="0" applyAlignment="1" applyBorder="1" applyFont="1">
      <alignment horizontal="center" shrinkToFit="0" vertical="center" wrapText="1"/>
    </xf>
    <xf borderId="3" fillId="7" fontId="11" numFmtId="9" xfId="0" applyAlignment="1" applyBorder="1" applyFont="1" applyNumberFormat="1">
      <alignment horizontal="left" shrinkToFit="0" vertical="center" wrapText="1"/>
    </xf>
    <xf borderId="3" fillId="7" fontId="11" numFmtId="3" xfId="0" applyAlignment="1" applyBorder="1" applyFont="1" applyNumberFormat="1">
      <alignment horizontal="left" shrinkToFit="0" vertical="center" wrapText="1"/>
    </xf>
    <xf borderId="3" fillId="4" fontId="17" numFmtId="0" xfId="0" applyAlignment="1" applyBorder="1" applyFont="1">
      <alignment horizontal="left" shrinkToFit="0" vertical="center" wrapText="1"/>
    </xf>
    <xf borderId="1" fillId="10" fontId="18" numFmtId="0" xfId="0" applyAlignment="1" applyBorder="1" applyFont="1">
      <alignment horizontal="center" shrinkToFit="0" vertical="center" wrapText="1"/>
    </xf>
    <xf borderId="3" fillId="4" fontId="19" numFmtId="0" xfId="0" applyAlignment="1" applyBorder="1" applyFont="1">
      <alignment horizontal="left" shrinkToFit="0" vertical="center" wrapText="1"/>
    </xf>
    <xf borderId="1" fillId="5" fontId="20" numFmtId="0" xfId="0" applyAlignment="1" applyBorder="1" applyFont="1">
      <alignment horizontal="left" shrinkToFit="0" vertical="center" wrapText="1"/>
    </xf>
    <xf borderId="1" fillId="12" fontId="1" numFmtId="0" xfId="0" applyAlignment="1" applyBorder="1" applyFill="1" applyFont="1">
      <alignment horizontal="center" shrinkToFit="0" vertical="center" wrapText="1"/>
    </xf>
    <xf borderId="3" fillId="5" fontId="20" numFmtId="0" xfId="0" applyAlignment="1" applyBorder="1" applyFont="1">
      <alignment horizontal="left" shrinkToFit="0" vertical="center" wrapText="1"/>
    </xf>
    <xf borderId="3" fillId="6" fontId="21" numFmtId="0" xfId="0" applyAlignment="1" applyBorder="1" applyFont="1">
      <alignment horizontal="left" shrinkToFit="0" vertical="center" wrapText="1"/>
    </xf>
    <xf borderId="3" fillId="7" fontId="21" numFmtId="0" xfId="0" applyAlignment="1" applyBorder="1" applyFont="1">
      <alignment horizontal="left" shrinkToFit="0" vertical="center" wrapText="1"/>
    </xf>
    <xf borderId="3" fillId="4" fontId="5" numFmtId="0" xfId="0" applyAlignment="1" applyBorder="1" applyFont="1">
      <alignment horizontal="center" shrinkToFit="0" vertical="center" wrapText="1"/>
    </xf>
    <xf borderId="3" fillId="6" fontId="22" numFmtId="0" xfId="0" applyAlignment="1" applyBorder="1" applyFont="1">
      <alignment horizontal="left" shrinkToFit="0" vertical="center" wrapText="1"/>
    </xf>
    <xf borderId="3" fillId="5" fontId="7" numFmtId="0" xfId="0" applyAlignment="1" applyBorder="1" applyFont="1">
      <alignment horizontal="center" shrinkToFit="0" vertical="center" wrapText="1"/>
    </xf>
    <xf borderId="1" fillId="13" fontId="1" numFmtId="0" xfId="0" applyAlignment="1" applyBorder="1" applyFill="1" applyFont="1">
      <alignment horizontal="center" shrinkToFit="0" vertical="center" wrapText="1"/>
    </xf>
    <xf borderId="3" fillId="13" fontId="14" numFmtId="0" xfId="0" applyAlignment="1" applyBorder="1" applyFont="1">
      <alignment horizontal="center" shrinkToFit="0" vertical="center" wrapText="1"/>
    </xf>
    <xf borderId="3" fillId="10" fontId="14" numFmtId="0" xfId="0" applyAlignment="1" applyBorder="1" applyFont="1">
      <alignment horizontal="center" shrinkToFit="0" vertical="center" wrapText="1"/>
    </xf>
    <xf borderId="3" fillId="14" fontId="15" numFmtId="0" xfId="0" applyAlignment="1" applyBorder="1" applyFill="1" applyFont="1">
      <alignment horizontal="center" shrinkToFit="0" vertical="center" wrapText="1"/>
    </xf>
    <xf borderId="3" fillId="15" fontId="15" numFmtId="0" xfId="0" applyAlignment="1" applyBorder="1" applyFill="1" applyFont="1">
      <alignment horizontal="center" shrinkToFit="0" vertical="center" wrapText="1"/>
    </xf>
    <xf borderId="3" fillId="16" fontId="15" numFmtId="0" xfId="0" applyAlignment="1" applyBorder="1" applyFill="1" applyFont="1">
      <alignment horizontal="center" shrinkToFit="0" vertical="center" wrapText="1"/>
    </xf>
    <xf borderId="3" fillId="17" fontId="15" numFmtId="0" xfId="0" applyAlignment="1" applyBorder="1" applyFill="1" applyFont="1">
      <alignment horizontal="center" shrinkToFit="0" vertical="center" wrapText="1"/>
    </xf>
    <xf borderId="3" fillId="18" fontId="15" numFmtId="0" xfId="0" applyAlignment="1" applyBorder="1" applyFill="1" applyFont="1">
      <alignment horizontal="center" shrinkToFit="0" vertical="center" wrapText="1"/>
    </xf>
    <xf borderId="3" fillId="9" fontId="11" numFmtId="3" xfId="0" applyAlignment="1" applyBorder="1" applyFont="1" applyNumberFormat="1">
      <alignment horizontal="center" shrinkToFit="0" vertical="center" wrapText="1"/>
    </xf>
    <xf borderId="3" fillId="9" fontId="11" numFmtId="164" xfId="0" applyAlignment="1" applyBorder="1" applyFont="1" applyNumberFormat="1">
      <alignment horizontal="left" shrinkToFit="0" vertical="center" wrapText="1"/>
    </xf>
    <xf borderId="3" fillId="4" fontId="4" numFmtId="0" xfId="0" applyAlignment="1" applyBorder="1" applyFont="1">
      <alignment horizontal="center" shrinkToFit="0" vertical="center" wrapText="1"/>
    </xf>
    <xf borderId="3" fillId="7" fontId="11" numFmtId="3" xfId="0" applyAlignment="1" applyBorder="1" applyFont="1" applyNumberFormat="1">
      <alignment horizontal="center" shrinkToFit="0" vertical="center" wrapText="1"/>
    </xf>
    <xf borderId="3" fillId="7" fontId="11" numFmtId="164" xfId="0" applyAlignment="1" applyBorder="1" applyFont="1" applyNumberFormat="1">
      <alignment horizontal="left" shrinkToFit="0" vertical="center" wrapText="1"/>
    </xf>
    <xf borderId="5" fillId="0" fontId="2" numFmtId="0" xfId="0" applyBorder="1" applyFont="1"/>
    <xf borderId="1" fillId="4" fontId="23" numFmtId="0" xfId="0" applyAlignment="1" applyBorder="1" applyFont="1">
      <alignment horizontal="left" shrinkToFit="0" vertical="center" wrapText="1"/>
    </xf>
    <xf borderId="1" fillId="16" fontId="1" numFmtId="0" xfId="0" applyAlignment="1" applyBorder="1" applyFont="1">
      <alignment horizontal="center" shrinkToFit="0" vertical="center" wrapText="1"/>
    </xf>
    <xf borderId="3" fillId="16" fontId="14" numFmtId="0" xfId="0" applyAlignment="1" applyBorder="1" applyFont="1">
      <alignment horizontal="center" shrinkToFit="0" vertical="center" wrapText="1"/>
    </xf>
    <xf borderId="1" fillId="10" fontId="1" numFmtId="0" xfId="0" applyAlignment="1" applyBorder="1" applyFont="1">
      <alignment horizontal="center" shrinkToFit="0" vertical="center" wrapText="1"/>
    </xf>
    <xf borderId="1" fillId="16" fontId="18" numFmtId="0" xfId="0" applyAlignment="1" applyBorder="1" applyFont="1">
      <alignment horizontal="center" shrinkToFit="0" vertical="center" wrapText="1"/>
    </xf>
    <xf borderId="3" fillId="19" fontId="20" numFmtId="0" xfId="0" applyAlignment="1" applyBorder="1" applyFill="1" applyFont="1">
      <alignment horizontal="left" shrinkToFit="0" vertical="center" wrapText="1"/>
    </xf>
    <xf borderId="3" fillId="4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32.0"/>
    <col customWidth="1" min="3" max="3" width="50.0"/>
    <col customWidth="1" min="4" max="26" width="8.71"/>
  </cols>
  <sheetData>
    <row r="1" ht="33.75" customHeight="1">
      <c r="A1" s="1" t="s">
        <v>0</v>
      </c>
      <c r="B1" s="2"/>
    </row>
    <row r="2" ht="19.5" customHeight="1">
      <c r="A2" s="3" t="s">
        <v>1</v>
      </c>
      <c r="B2" s="2"/>
    </row>
    <row r="4" ht="19.5" customHeight="1">
      <c r="A4" s="4" t="s">
        <v>2</v>
      </c>
      <c r="B4" s="5" t="s">
        <v>3</v>
      </c>
    </row>
    <row r="5" ht="19.5" customHeight="1">
      <c r="A5" s="6" t="s">
        <v>4</v>
      </c>
      <c r="B5" s="7" t="s">
        <v>5</v>
      </c>
    </row>
    <row r="6" ht="19.5" customHeight="1">
      <c r="A6" s="8" t="s">
        <v>6</v>
      </c>
      <c r="B6" s="9" t="s">
        <v>7</v>
      </c>
    </row>
    <row r="7" ht="19.5" customHeight="1">
      <c r="A7" s="10" t="s">
        <v>8</v>
      </c>
      <c r="B7" s="11" t="s">
        <v>9</v>
      </c>
    </row>
    <row r="8" ht="19.5" customHeight="1">
      <c r="A8" s="12" t="s">
        <v>10</v>
      </c>
      <c r="B8" s="13" t="s">
        <v>11</v>
      </c>
    </row>
    <row r="10" ht="24.0" customHeight="1">
      <c r="A10" s="14" t="s">
        <v>12</v>
      </c>
      <c r="B10" s="14" t="s">
        <v>13</v>
      </c>
      <c r="C10" s="14" t="s">
        <v>14</v>
      </c>
    </row>
    <row r="11" ht="21.75" customHeight="1">
      <c r="A11" s="15" t="s">
        <v>15</v>
      </c>
      <c r="B11" s="15" t="s">
        <v>16</v>
      </c>
      <c r="C11" s="15" t="s">
        <v>17</v>
      </c>
    </row>
    <row r="12" ht="21.75" customHeight="1">
      <c r="A12" s="11" t="s">
        <v>18</v>
      </c>
      <c r="B12" s="11" t="s">
        <v>19</v>
      </c>
      <c r="C12" s="11" t="s">
        <v>20</v>
      </c>
    </row>
    <row r="13" ht="21.75" customHeight="1">
      <c r="A13" s="15" t="s">
        <v>21</v>
      </c>
      <c r="B13" s="15" t="s">
        <v>22</v>
      </c>
      <c r="C13" s="15" t="s">
        <v>23</v>
      </c>
    </row>
    <row r="14" ht="21.75" customHeight="1">
      <c r="A14" s="11" t="s">
        <v>24</v>
      </c>
      <c r="B14" s="11" t="s">
        <v>25</v>
      </c>
      <c r="C14" s="11" t="s">
        <v>26</v>
      </c>
    </row>
    <row r="15" ht="21.75" customHeight="1">
      <c r="A15" s="15" t="s">
        <v>27</v>
      </c>
      <c r="B15" s="15" t="s">
        <v>28</v>
      </c>
      <c r="C15" s="15" t="s">
        <v>29</v>
      </c>
    </row>
    <row r="16" ht="21.75" customHeight="1">
      <c r="A16" s="11" t="s">
        <v>30</v>
      </c>
      <c r="B16" s="11" t="s">
        <v>31</v>
      </c>
      <c r="C16" s="11" t="s">
        <v>32</v>
      </c>
    </row>
    <row r="17" ht="21.75" customHeight="1">
      <c r="A17" s="15" t="s">
        <v>33</v>
      </c>
      <c r="B17" s="15" t="s">
        <v>34</v>
      </c>
      <c r="C17" s="15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12.0"/>
    <col customWidth="1" min="4" max="4" width="8.0"/>
    <col customWidth="1" min="5" max="5" width="14.0"/>
    <col customWidth="1" min="6" max="6" width="12.0"/>
    <col customWidth="1" min="7" max="9" width="10.0"/>
    <col customWidth="1" min="10" max="17" width="20.0"/>
    <col customWidth="1" min="18" max="26" width="8.71"/>
  </cols>
  <sheetData>
    <row r="1" ht="33.75" customHeight="1">
      <c r="A1" s="1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2"/>
    </row>
    <row r="2" ht="19.5" customHeight="1">
      <c r="A2" s="3" t="s">
        <v>37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2"/>
    </row>
    <row r="3" ht="24.0" customHeight="1">
      <c r="A3" s="14" t="s">
        <v>38</v>
      </c>
      <c r="B3" s="14" t="s">
        <v>39</v>
      </c>
      <c r="C3" s="14" t="s">
        <v>40</v>
      </c>
      <c r="D3" s="14" t="s">
        <v>41</v>
      </c>
      <c r="E3" s="14" t="s">
        <v>42</v>
      </c>
      <c r="F3" s="14" t="s">
        <v>43</v>
      </c>
      <c r="G3" s="14" t="s">
        <v>44</v>
      </c>
      <c r="H3" s="14" t="s">
        <v>45</v>
      </c>
      <c r="I3" s="14" t="s">
        <v>46</v>
      </c>
      <c r="J3" s="17" t="s">
        <v>47</v>
      </c>
      <c r="K3" s="17" t="s">
        <v>48</v>
      </c>
      <c r="L3" s="17" t="s">
        <v>49</v>
      </c>
      <c r="M3" s="17" t="s">
        <v>50</v>
      </c>
      <c r="N3" s="17" t="s">
        <v>51</v>
      </c>
      <c r="O3" s="17" t="s">
        <v>52</v>
      </c>
      <c r="P3" s="17" t="s">
        <v>53</v>
      </c>
      <c r="Q3" s="17" t="s">
        <v>54</v>
      </c>
    </row>
    <row r="4" ht="18.0" customHeight="1">
      <c r="A4" s="18" t="s">
        <v>55</v>
      </c>
      <c r="B4" s="15" t="s">
        <v>56</v>
      </c>
      <c r="C4" s="15" t="s">
        <v>57</v>
      </c>
      <c r="D4" s="18">
        <v>82.0</v>
      </c>
      <c r="E4" s="19">
        <v>0.66</v>
      </c>
      <c r="F4" s="20">
        <v>54048.0</v>
      </c>
      <c r="G4" s="18">
        <v>2019.0</v>
      </c>
      <c r="H4" s="18" t="s">
        <v>58</v>
      </c>
      <c r="I4" s="15" t="s">
        <v>59</v>
      </c>
      <c r="J4" s="21"/>
      <c r="K4" s="21"/>
      <c r="L4" s="22"/>
      <c r="M4" s="22"/>
      <c r="N4" s="22"/>
      <c r="O4" s="22"/>
      <c r="P4" s="22"/>
      <c r="Q4" s="22"/>
    </row>
    <row r="5" ht="18.0" customHeight="1">
      <c r="A5" s="23" t="s">
        <v>60</v>
      </c>
      <c r="B5" s="11" t="s">
        <v>61</v>
      </c>
      <c r="C5" s="11" t="s">
        <v>62</v>
      </c>
      <c r="D5" s="23">
        <v>48.0</v>
      </c>
      <c r="E5" s="24">
        <v>0.88</v>
      </c>
      <c r="F5" s="25">
        <v>29395.0</v>
      </c>
      <c r="G5" s="23">
        <v>2022.0</v>
      </c>
      <c r="H5" s="23" t="s">
        <v>63</v>
      </c>
      <c r="I5" s="11" t="s">
        <v>59</v>
      </c>
      <c r="J5" s="21"/>
      <c r="K5" s="21"/>
      <c r="L5" s="22"/>
      <c r="M5" s="22"/>
      <c r="N5" s="22"/>
      <c r="O5" s="22"/>
      <c r="P5" s="22"/>
      <c r="Q5" s="22"/>
    </row>
    <row r="6" ht="18.0" customHeight="1">
      <c r="A6" s="18" t="s">
        <v>64</v>
      </c>
      <c r="B6" s="15" t="s">
        <v>65</v>
      </c>
      <c r="C6" s="15" t="s">
        <v>66</v>
      </c>
      <c r="D6" s="18">
        <v>47.0</v>
      </c>
      <c r="E6" s="19">
        <v>0.7</v>
      </c>
      <c r="F6" s="20">
        <v>84237.0</v>
      </c>
      <c r="G6" s="18">
        <v>2022.0</v>
      </c>
      <c r="H6" s="18" t="s">
        <v>67</v>
      </c>
      <c r="I6" s="15" t="s">
        <v>59</v>
      </c>
      <c r="J6" s="21"/>
      <c r="K6" s="21"/>
      <c r="L6" s="22"/>
      <c r="M6" s="22"/>
      <c r="N6" s="22"/>
      <c r="O6" s="22"/>
      <c r="P6" s="22"/>
      <c r="Q6" s="22"/>
    </row>
    <row r="7" ht="18.0" customHeight="1">
      <c r="A7" s="23" t="s">
        <v>68</v>
      </c>
      <c r="B7" s="11" t="s">
        <v>69</v>
      </c>
      <c r="C7" s="11" t="s">
        <v>70</v>
      </c>
      <c r="D7" s="23">
        <v>87.0</v>
      </c>
      <c r="E7" s="24">
        <v>0.87</v>
      </c>
      <c r="F7" s="25">
        <v>72987.0</v>
      </c>
      <c r="G7" s="23">
        <v>2019.0</v>
      </c>
      <c r="H7" s="23" t="s">
        <v>71</v>
      </c>
      <c r="I7" s="11" t="s">
        <v>59</v>
      </c>
      <c r="J7" s="21"/>
      <c r="K7" s="21"/>
      <c r="L7" s="22"/>
      <c r="M7" s="22"/>
      <c r="N7" s="22"/>
      <c r="O7" s="22"/>
      <c r="P7" s="22"/>
      <c r="Q7" s="22"/>
    </row>
    <row r="8" ht="18.0" customHeight="1">
      <c r="A8" s="18" t="s">
        <v>72</v>
      </c>
      <c r="B8" s="15" t="s">
        <v>73</v>
      </c>
      <c r="C8" s="15" t="s">
        <v>74</v>
      </c>
      <c r="D8" s="18">
        <v>93.0</v>
      </c>
      <c r="E8" s="19">
        <v>0.95</v>
      </c>
      <c r="F8" s="20">
        <v>38926.0</v>
      </c>
      <c r="G8" s="18">
        <v>2023.0</v>
      </c>
      <c r="H8" s="18" t="s">
        <v>58</v>
      </c>
      <c r="I8" s="15" t="s">
        <v>59</v>
      </c>
      <c r="J8" s="21"/>
      <c r="K8" s="21"/>
      <c r="L8" s="22"/>
      <c r="M8" s="22"/>
      <c r="N8" s="22"/>
      <c r="O8" s="22"/>
      <c r="P8" s="22"/>
      <c r="Q8" s="22"/>
    </row>
    <row r="9" ht="18.0" customHeight="1">
      <c r="A9" s="23" t="s">
        <v>75</v>
      </c>
      <c r="B9" s="11" t="s">
        <v>76</v>
      </c>
      <c r="C9" s="11" t="s">
        <v>57</v>
      </c>
      <c r="D9" s="23">
        <v>51.0</v>
      </c>
      <c r="E9" s="24">
        <v>0.7</v>
      </c>
      <c r="F9" s="25">
        <v>62118.0</v>
      </c>
      <c r="G9" s="23">
        <v>2018.0</v>
      </c>
      <c r="H9" s="23" t="s">
        <v>63</v>
      </c>
      <c r="I9" s="11" t="s">
        <v>59</v>
      </c>
      <c r="J9" s="21"/>
      <c r="K9" s="21"/>
      <c r="L9" s="22"/>
      <c r="M9" s="22"/>
      <c r="N9" s="22"/>
      <c r="O9" s="22"/>
      <c r="P9" s="22"/>
      <c r="Q9" s="22"/>
    </row>
    <row r="10" ht="18.0" customHeight="1">
      <c r="A10" s="18" t="s">
        <v>77</v>
      </c>
      <c r="B10" s="15" t="s">
        <v>78</v>
      </c>
      <c r="C10" s="15" t="s">
        <v>62</v>
      </c>
      <c r="D10" s="18">
        <v>64.0</v>
      </c>
      <c r="E10" s="19">
        <v>0.94</v>
      </c>
      <c r="F10" s="20">
        <v>52671.0</v>
      </c>
      <c r="G10" s="18">
        <v>2024.0</v>
      </c>
      <c r="H10" s="18" t="s">
        <v>67</v>
      </c>
      <c r="I10" s="15" t="s">
        <v>59</v>
      </c>
      <c r="J10" s="21"/>
      <c r="K10" s="21"/>
      <c r="L10" s="22"/>
      <c r="M10" s="22"/>
      <c r="N10" s="22"/>
      <c r="O10" s="22"/>
      <c r="P10" s="22"/>
      <c r="Q10" s="22"/>
    </row>
    <row r="11" ht="18.0" customHeight="1">
      <c r="A11" s="23" t="s">
        <v>79</v>
      </c>
      <c r="B11" s="11" t="s">
        <v>80</v>
      </c>
      <c r="C11" s="11" t="s">
        <v>66</v>
      </c>
      <c r="D11" s="23">
        <v>76.0</v>
      </c>
      <c r="E11" s="24">
        <v>0.67</v>
      </c>
      <c r="F11" s="25">
        <v>67615.0</v>
      </c>
      <c r="G11" s="23">
        <v>2018.0</v>
      </c>
      <c r="H11" s="23" t="s">
        <v>71</v>
      </c>
      <c r="I11" s="11" t="s">
        <v>81</v>
      </c>
      <c r="J11" s="21"/>
      <c r="K11" s="21"/>
      <c r="L11" s="22"/>
      <c r="M11" s="22"/>
      <c r="N11" s="22"/>
      <c r="O11" s="22"/>
      <c r="P11" s="22"/>
      <c r="Q11" s="22"/>
    </row>
    <row r="12" ht="18.0" customHeight="1">
      <c r="A12" s="18" t="s">
        <v>82</v>
      </c>
      <c r="B12" s="15" t="s">
        <v>83</v>
      </c>
      <c r="C12" s="15" t="s">
        <v>70</v>
      </c>
      <c r="D12" s="18">
        <v>81.0</v>
      </c>
      <c r="E12" s="19">
        <v>0.96</v>
      </c>
      <c r="F12" s="20">
        <v>65400.0</v>
      </c>
      <c r="G12" s="18">
        <v>2022.0</v>
      </c>
      <c r="H12" s="18" t="s">
        <v>58</v>
      </c>
      <c r="I12" s="15" t="s">
        <v>81</v>
      </c>
      <c r="J12" s="21"/>
      <c r="K12" s="21"/>
      <c r="L12" s="22"/>
      <c r="M12" s="22"/>
      <c r="N12" s="22"/>
      <c r="O12" s="22"/>
      <c r="P12" s="22"/>
      <c r="Q12" s="22"/>
    </row>
    <row r="13" ht="18.0" customHeight="1">
      <c r="A13" s="23" t="s">
        <v>84</v>
      </c>
      <c r="B13" s="11" t="s">
        <v>85</v>
      </c>
      <c r="C13" s="11" t="s">
        <v>74</v>
      </c>
      <c r="D13" s="23">
        <v>44.0</v>
      </c>
      <c r="E13" s="24">
        <v>0.87</v>
      </c>
      <c r="F13" s="25">
        <v>55930.0</v>
      </c>
      <c r="G13" s="23">
        <v>2018.0</v>
      </c>
      <c r="H13" s="23" t="s">
        <v>63</v>
      </c>
      <c r="I13" s="11" t="s">
        <v>59</v>
      </c>
      <c r="J13" s="21"/>
      <c r="K13" s="21"/>
      <c r="L13" s="22"/>
      <c r="M13" s="22"/>
      <c r="N13" s="22"/>
      <c r="O13" s="22"/>
      <c r="P13" s="22"/>
      <c r="Q13" s="22"/>
    </row>
    <row r="14" ht="18.0" customHeight="1">
      <c r="A14" s="18" t="s">
        <v>86</v>
      </c>
      <c r="B14" s="15" t="s">
        <v>87</v>
      </c>
      <c r="C14" s="15" t="s">
        <v>57</v>
      </c>
      <c r="D14" s="18">
        <v>66.0</v>
      </c>
      <c r="E14" s="19">
        <v>0.73</v>
      </c>
      <c r="F14" s="20">
        <v>65819.0</v>
      </c>
      <c r="G14" s="18">
        <v>2019.0</v>
      </c>
      <c r="H14" s="18" t="s">
        <v>67</v>
      </c>
      <c r="I14" s="15" t="s">
        <v>59</v>
      </c>
      <c r="J14" s="21"/>
      <c r="K14" s="21"/>
      <c r="L14" s="22"/>
      <c r="M14" s="22"/>
      <c r="N14" s="22"/>
      <c r="O14" s="22"/>
      <c r="P14" s="22"/>
      <c r="Q14" s="22"/>
    </row>
    <row r="15" ht="18.0" customHeight="1">
      <c r="A15" s="23" t="s">
        <v>88</v>
      </c>
      <c r="B15" s="11" t="s">
        <v>89</v>
      </c>
      <c r="C15" s="11" t="s">
        <v>62</v>
      </c>
      <c r="D15" s="23">
        <v>84.0</v>
      </c>
      <c r="E15" s="24">
        <v>0.72</v>
      </c>
      <c r="F15" s="25">
        <v>27358.0</v>
      </c>
      <c r="G15" s="23">
        <v>2022.0</v>
      </c>
      <c r="H15" s="23" t="s">
        <v>71</v>
      </c>
      <c r="I15" s="11" t="s">
        <v>59</v>
      </c>
      <c r="J15" s="21"/>
      <c r="K15" s="21"/>
      <c r="L15" s="22"/>
      <c r="M15" s="22"/>
      <c r="N15" s="22"/>
      <c r="O15" s="22"/>
      <c r="P15" s="22"/>
      <c r="Q15" s="22"/>
    </row>
    <row r="16" ht="18.0" customHeight="1">
      <c r="A16" s="18" t="s">
        <v>90</v>
      </c>
      <c r="B16" s="15" t="s">
        <v>91</v>
      </c>
      <c r="C16" s="15" t="s">
        <v>66</v>
      </c>
      <c r="D16" s="18">
        <v>88.0</v>
      </c>
      <c r="E16" s="19">
        <v>0.71</v>
      </c>
      <c r="F16" s="20">
        <v>78589.0</v>
      </c>
      <c r="G16" s="18">
        <v>2021.0</v>
      </c>
      <c r="H16" s="18" t="s">
        <v>58</v>
      </c>
      <c r="I16" s="15" t="s">
        <v>59</v>
      </c>
      <c r="J16" s="21"/>
      <c r="K16" s="21"/>
      <c r="L16" s="22"/>
      <c r="M16" s="22"/>
      <c r="N16" s="22"/>
      <c r="O16" s="22"/>
      <c r="P16" s="22"/>
      <c r="Q16" s="22"/>
    </row>
    <row r="17" ht="18.0" customHeight="1">
      <c r="A17" s="23" t="s">
        <v>92</v>
      </c>
      <c r="B17" s="11" t="s">
        <v>93</v>
      </c>
      <c r="C17" s="11" t="s">
        <v>70</v>
      </c>
      <c r="D17" s="23">
        <v>77.0</v>
      </c>
      <c r="E17" s="24">
        <v>0.7</v>
      </c>
      <c r="F17" s="25">
        <v>60504.0</v>
      </c>
      <c r="G17" s="23">
        <v>2024.0</v>
      </c>
      <c r="H17" s="23" t="s">
        <v>63</v>
      </c>
      <c r="I17" s="11" t="s">
        <v>59</v>
      </c>
      <c r="J17" s="21"/>
      <c r="K17" s="21"/>
      <c r="L17" s="22"/>
      <c r="M17" s="22"/>
      <c r="N17" s="22"/>
      <c r="O17" s="22"/>
      <c r="P17" s="22"/>
      <c r="Q17" s="22"/>
    </row>
    <row r="18" ht="18.0" customHeight="1">
      <c r="A18" s="18" t="s">
        <v>94</v>
      </c>
      <c r="B18" s="15" t="s">
        <v>95</v>
      </c>
      <c r="C18" s="15" t="s">
        <v>74</v>
      </c>
      <c r="D18" s="18">
        <v>93.0</v>
      </c>
      <c r="E18" s="19">
        <v>0.74</v>
      </c>
      <c r="F18" s="20">
        <v>53093.0</v>
      </c>
      <c r="G18" s="18">
        <v>2018.0</v>
      </c>
      <c r="H18" s="18" t="s">
        <v>67</v>
      </c>
      <c r="I18" s="15" t="s">
        <v>59</v>
      </c>
      <c r="J18" s="21"/>
      <c r="K18" s="21"/>
      <c r="L18" s="22"/>
      <c r="M18" s="22"/>
      <c r="N18" s="22"/>
      <c r="O18" s="22"/>
      <c r="P18" s="22"/>
      <c r="Q18" s="22"/>
    </row>
    <row r="19" ht="18.0" customHeight="1">
      <c r="A19" s="23" t="s">
        <v>96</v>
      </c>
      <c r="B19" s="11" t="s">
        <v>97</v>
      </c>
      <c r="C19" s="11" t="s">
        <v>57</v>
      </c>
      <c r="D19" s="23">
        <v>62.0</v>
      </c>
      <c r="E19" s="24">
        <v>0.7</v>
      </c>
      <c r="F19" s="25">
        <v>83435.0</v>
      </c>
      <c r="G19" s="23">
        <v>2021.0</v>
      </c>
      <c r="H19" s="23" t="s">
        <v>71</v>
      </c>
      <c r="I19" s="11" t="s">
        <v>59</v>
      </c>
      <c r="J19" s="21"/>
      <c r="K19" s="21"/>
      <c r="L19" s="22"/>
      <c r="M19" s="22"/>
      <c r="N19" s="22"/>
      <c r="O19" s="22"/>
      <c r="P19" s="22"/>
      <c r="Q19" s="22"/>
    </row>
    <row r="20" ht="18.0" customHeight="1">
      <c r="A20" s="18" t="s">
        <v>98</v>
      </c>
      <c r="B20" s="15" t="s">
        <v>99</v>
      </c>
      <c r="C20" s="15" t="s">
        <v>62</v>
      </c>
      <c r="D20" s="18">
        <v>58.0</v>
      </c>
      <c r="E20" s="19">
        <v>0.67</v>
      </c>
      <c r="F20" s="20">
        <v>52438.0</v>
      </c>
      <c r="G20" s="18">
        <v>2023.0</v>
      </c>
      <c r="H20" s="18" t="s">
        <v>58</v>
      </c>
      <c r="I20" s="15" t="s">
        <v>59</v>
      </c>
      <c r="J20" s="21"/>
      <c r="K20" s="21"/>
      <c r="L20" s="22"/>
      <c r="M20" s="22"/>
      <c r="N20" s="22"/>
      <c r="O20" s="22"/>
      <c r="P20" s="22"/>
      <c r="Q20" s="22"/>
    </row>
    <row r="21" ht="18.0" customHeight="1">
      <c r="A21" s="23" t="s">
        <v>100</v>
      </c>
      <c r="B21" s="11" t="s">
        <v>101</v>
      </c>
      <c r="C21" s="11" t="s">
        <v>66</v>
      </c>
      <c r="D21" s="23">
        <v>67.0</v>
      </c>
      <c r="E21" s="24">
        <v>0.76</v>
      </c>
      <c r="F21" s="25">
        <v>36131.0</v>
      </c>
      <c r="G21" s="23">
        <v>2022.0</v>
      </c>
      <c r="H21" s="23" t="s">
        <v>63</v>
      </c>
      <c r="I21" s="11" t="s">
        <v>81</v>
      </c>
      <c r="J21" s="21"/>
      <c r="K21" s="21"/>
      <c r="L21" s="22"/>
      <c r="M21" s="22"/>
      <c r="N21" s="22"/>
      <c r="O21" s="22"/>
      <c r="P21" s="22"/>
      <c r="Q21" s="22"/>
    </row>
    <row r="22" ht="18.0" customHeight="1">
      <c r="A22" s="18" t="s">
        <v>102</v>
      </c>
      <c r="B22" s="15" t="s">
        <v>103</v>
      </c>
      <c r="C22" s="15" t="s">
        <v>70</v>
      </c>
      <c r="D22" s="18">
        <v>97.0</v>
      </c>
      <c r="E22" s="19">
        <v>0.66</v>
      </c>
      <c r="F22" s="20">
        <v>38969.0</v>
      </c>
      <c r="G22" s="18">
        <v>2024.0</v>
      </c>
      <c r="H22" s="18" t="s">
        <v>67</v>
      </c>
      <c r="I22" s="15" t="s">
        <v>81</v>
      </c>
      <c r="J22" s="21"/>
      <c r="K22" s="21"/>
      <c r="L22" s="22"/>
      <c r="M22" s="22"/>
      <c r="N22" s="22"/>
      <c r="O22" s="22"/>
      <c r="P22" s="22"/>
      <c r="Q22" s="22"/>
    </row>
    <row r="23" ht="18.0" customHeight="1">
      <c r="A23" s="23" t="s">
        <v>104</v>
      </c>
      <c r="B23" s="11" t="s">
        <v>105</v>
      </c>
      <c r="C23" s="11" t="s">
        <v>74</v>
      </c>
      <c r="D23" s="23">
        <v>46.0</v>
      </c>
      <c r="E23" s="24">
        <v>0.77</v>
      </c>
      <c r="F23" s="25">
        <v>79348.0</v>
      </c>
      <c r="G23" s="23">
        <v>2022.0</v>
      </c>
      <c r="H23" s="23" t="s">
        <v>71</v>
      </c>
      <c r="I23" s="11" t="s">
        <v>59</v>
      </c>
      <c r="J23" s="21"/>
      <c r="K23" s="21"/>
      <c r="L23" s="22"/>
      <c r="M23" s="22"/>
      <c r="N23" s="22"/>
      <c r="O23" s="22"/>
      <c r="P23" s="22"/>
      <c r="Q23" s="22"/>
    </row>
    <row r="24" ht="18.0" customHeight="1">
      <c r="A24" s="18" t="s">
        <v>106</v>
      </c>
      <c r="B24" s="15" t="s">
        <v>107</v>
      </c>
      <c r="C24" s="15" t="s">
        <v>57</v>
      </c>
      <c r="D24" s="18">
        <v>85.0</v>
      </c>
      <c r="E24" s="19">
        <v>0.89</v>
      </c>
      <c r="F24" s="20">
        <v>52973.0</v>
      </c>
      <c r="G24" s="18">
        <v>2024.0</v>
      </c>
      <c r="H24" s="18" t="s">
        <v>58</v>
      </c>
      <c r="I24" s="15" t="s">
        <v>59</v>
      </c>
      <c r="J24" s="21"/>
      <c r="K24" s="21"/>
      <c r="L24" s="22"/>
      <c r="M24" s="22"/>
      <c r="N24" s="22"/>
      <c r="O24" s="22"/>
      <c r="P24" s="22"/>
      <c r="Q24" s="22"/>
    </row>
    <row r="25" ht="18.0" customHeight="1">
      <c r="A25" s="23" t="s">
        <v>108</v>
      </c>
      <c r="B25" s="11" t="s">
        <v>109</v>
      </c>
      <c r="C25" s="11" t="s">
        <v>62</v>
      </c>
      <c r="D25" s="23">
        <v>60.0</v>
      </c>
      <c r="E25" s="24">
        <v>0.79</v>
      </c>
      <c r="F25" s="25">
        <v>77470.0</v>
      </c>
      <c r="G25" s="23">
        <v>2018.0</v>
      </c>
      <c r="H25" s="23" t="s">
        <v>63</v>
      </c>
      <c r="I25" s="11" t="s">
        <v>59</v>
      </c>
      <c r="J25" s="21"/>
      <c r="K25" s="21"/>
      <c r="L25" s="22"/>
      <c r="M25" s="22"/>
      <c r="N25" s="22"/>
      <c r="O25" s="22"/>
      <c r="P25" s="22"/>
      <c r="Q25" s="22"/>
    </row>
    <row r="26" ht="18.0" customHeight="1">
      <c r="A26" s="18" t="s">
        <v>110</v>
      </c>
      <c r="B26" s="15" t="s">
        <v>111</v>
      </c>
      <c r="C26" s="15" t="s">
        <v>66</v>
      </c>
      <c r="D26" s="18">
        <v>74.0</v>
      </c>
      <c r="E26" s="19">
        <v>0.91</v>
      </c>
      <c r="F26" s="20">
        <v>84542.0</v>
      </c>
      <c r="G26" s="18">
        <v>2018.0</v>
      </c>
      <c r="H26" s="18" t="s">
        <v>67</v>
      </c>
      <c r="I26" s="15" t="s">
        <v>59</v>
      </c>
      <c r="J26" s="21"/>
      <c r="K26" s="21"/>
      <c r="L26" s="22"/>
      <c r="M26" s="22"/>
      <c r="N26" s="22"/>
      <c r="O26" s="22"/>
      <c r="P26" s="22"/>
      <c r="Q26" s="22"/>
    </row>
    <row r="27" ht="18.0" customHeight="1">
      <c r="A27" s="23" t="s">
        <v>112</v>
      </c>
      <c r="B27" s="11" t="s">
        <v>113</v>
      </c>
      <c r="C27" s="11" t="s">
        <v>70</v>
      </c>
      <c r="D27" s="23">
        <v>74.0</v>
      </c>
      <c r="E27" s="24">
        <v>0.85</v>
      </c>
      <c r="F27" s="25">
        <v>38032.0</v>
      </c>
      <c r="G27" s="23">
        <v>2020.0</v>
      </c>
      <c r="H27" s="23" t="s">
        <v>71</v>
      </c>
      <c r="I27" s="11" t="s">
        <v>59</v>
      </c>
      <c r="J27" s="21"/>
      <c r="K27" s="21"/>
      <c r="L27" s="22"/>
      <c r="M27" s="22"/>
      <c r="N27" s="22"/>
      <c r="O27" s="22"/>
      <c r="P27" s="22"/>
      <c r="Q27" s="22"/>
    </row>
    <row r="28" ht="18.0" customHeight="1">
      <c r="A28" s="18" t="s">
        <v>114</v>
      </c>
      <c r="B28" s="15" t="s">
        <v>115</v>
      </c>
      <c r="C28" s="15" t="s">
        <v>74</v>
      </c>
      <c r="D28" s="18">
        <v>42.0</v>
      </c>
      <c r="E28" s="19">
        <v>0.85</v>
      </c>
      <c r="F28" s="20">
        <v>82042.0</v>
      </c>
      <c r="G28" s="18">
        <v>2018.0</v>
      </c>
      <c r="H28" s="18" t="s">
        <v>58</v>
      </c>
      <c r="I28" s="15" t="s">
        <v>59</v>
      </c>
      <c r="J28" s="21"/>
      <c r="K28" s="21"/>
      <c r="L28" s="22"/>
      <c r="M28" s="22"/>
      <c r="N28" s="22"/>
      <c r="O28" s="22"/>
      <c r="P28" s="22"/>
      <c r="Q28" s="22"/>
    </row>
    <row r="29" ht="18.0" customHeight="1">
      <c r="A29" s="23" t="s">
        <v>116</v>
      </c>
      <c r="B29" s="11" t="s">
        <v>117</v>
      </c>
      <c r="C29" s="11" t="s">
        <v>57</v>
      </c>
      <c r="D29" s="23">
        <v>57.0</v>
      </c>
      <c r="E29" s="24">
        <v>0.64</v>
      </c>
      <c r="F29" s="25">
        <v>28322.0</v>
      </c>
      <c r="G29" s="23">
        <v>2018.0</v>
      </c>
      <c r="H29" s="23" t="s">
        <v>63</v>
      </c>
      <c r="I29" s="11" t="s">
        <v>59</v>
      </c>
      <c r="J29" s="21"/>
      <c r="K29" s="21"/>
      <c r="L29" s="22"/>
      <c r="M29" s="22"/>
      <c r="N29" s="22"/>
      <c r="O29" s="22"/>
      <c r="P29" s="22"/>
      <c r="Q29" s="22"/>
    </row>
    <row r="30" ht="18.0" customHeight="1">
      <c r="A30" s="18" t="s">
        <v>118</v>
      </c>
      <c r="B30" s="15" t="s">
        <v>119</v>
      </c>
      <c r="C30" s="15" t="s">
        <v>62</v>
      </c>
      <c r="D30" s="18">
        <v>90.0</v>
      </c>
      <c r="E30" s="19">
        <v>0.82</v>
      </c>
      <c r="F30" s="20">
        <v>34483.0</v>
      </c>
      <c r="G30" s="18">
        <v>2019.0</v>
      </c>
      <c r="H30" s="18" t="s">
        <v>67</v>
      </c>
      <c r="I30" s="15" t="s">
        <v>59</v>
      </c>
      <c r="J30" s="21"/>
      <c r="K30" s="21"/>
      <c r="L30" s="22"/>
      <c r="M30" s="22"/>
      <c r="N30" s="22"/>
      <c r="O30" s="22"/>
      <c r="P30" s="22"/>
      <c r="Q30" s="22"/>
    </row>
    <row r="31" ht="18.0" customHeight="1">
      <c r="A31" s="23" t="s">
        <v>120</v>
      </c>
      <c r="B31" s="11" t="s">
        <v>121</v>
      </c>
      <c r="C31" s="11" t="s">
        <v>66</v>
      </c>
      <c r="D31" s="23">
        <v>52.0</v>
      </c>
      <c r="E31" s="24">
        <v>0.72</v>
      </c>
      <c r="F31" s="25">
        <v>73461.0</v>
      </c>
      <c r="G31" s="23">
        <v>2019.0</v>
      </c>
      <c r="H31" s="23" t="s">
        <v>71</v>
      </c>
      <c r="I31" s="11" t="s">
        <v>81</v>
      </c>
      <c r="J31" s="21"/>
      <c r="K31" s="21"/>
      <c r="L31" s="22"/>
      <c r="M31" s="22"/>
      <c r="N31" s="22"/>
      <c r="O31" s="22"/>
      <c r="P31" s="22"/>
      <c r="Q31" s="22"/>
    </row>
    <row r="32" ht="18.0" customHeight="1">
      <c r="A32" s="18" t="s">
        <v>122</v>
      </c>
      <c r="B32" s="15" t="s">
        <v>123</v>
      </c>
      <c r="C32" s="15" t="s">
        <v>70</v>
      </c>
      <c r="D32" s="18">
        <v>86.0</v>
      </c>
      <c r="E32" s="19">
        <v>0.7</v>
      </c>
      <c r="F32" s="20">
        <v>58857.0</v>
      </c>
      <c r="G32" s="18">
        <v>2021.0</v>
      </c>
      <c r="H32" s="18" t="s">
        <v>58</v>
      </c>
      <c r="I32" s="15" t="s">
        <v>81</v>
      </c>
      <c r="J32" s="21"/>
      <c r="K32" s="21"/>
      <c r="L32" s="22"/>
      <c r="M32" s="22"/>
      <c r="N32" s="22"/>
      <c r="O32" s="22"/>
      <c r="P32" s="22"/>
      <c r="Q32" s="22"/>
    </row>
    <row r="33" ht="18.0" customHeight="1">
      <c r="A33" s="23" t="s">
        <v>124</v>
      </c>
      <c r="B33" s="11" t="s">
        <v>125</v>
      </c>
      <c r="C33" s="11" t="s">
        <v>74</v>
      </c>
      <c r="D33" s="23">
        <v>70.0</v>
      </c>
      <c r="E33" s="24">
        <v>0.96</v>
      </c>
      <c r="F33" s="25">
        <v>77177.0</v>
      </c>
      <c r="G33" s="23">
        <v>2018.0</v>
      </c>
      <c r="H33" s="23" t="s">
        <v>63</v>
      </c>
      <c r="I33" s="11" t="s">
        <v>59</v>
      </c>
      <c r="J33" s="21"/>
      <c r="K33" s="21"/>
      <c r="L33" s="22"/>
      <c r="M33" s="22"/>
      <c r="N33" s="22"/>
      <c r="O33" s="22"/>
      <c r="P33" s="22"/>
      <c r="Q33" s="22"/>
    </row>
    <row r="34" ht="15.75" customHeight="1">
      <c r="J34" s="26" t="s">
        <v>126</v>
      </c>
      <c r="K34" s="26" t="s">
        <v>127</v>
      </c>
      <c r="L34" s="26" t="s">
        <v>128</v>
      </c>
      <c r="M34" s="26" t="s">
        <v>129</v>
      </c>
      <c r="N34" s="26" t="s">
        <v>130</v>
      </c>
      <c r="O34" s="26" t="s">
        <v>131</v>
      </c>
      <c r="P34" s="26" t="s">
        <v>132</v>
      </c>
      <c r="Q34" s="26" t="s">
        <v>133</v>
      </c>
    </row>
    <row r="35" ht="15.75" customHeight="1"/>
    <row r="36" ht="25.5" customHeight="1">
      <c r="A36" s="27" t="s">
        <v>134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2"/>
    </row>
    <row r="37" ht="31.5" customHeight="1">
      <c r="A37" s="28" t="s">
        <v>135</v>
      </c>
      <c r="B37" s="29" t="str">
        <f>IF(AND(D4&gt;=75,E4&gt;=0.8),"Eligible","Not Eligible")  drag to j33.  count eligible: =COUNTIF(J4:J33,"Eligible")</f>
        <v>#ERROR!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2"/>
    </row>
    <row r="38" ht="31.5" customHeight="1">
      <c r="A38" s="28" t="s">
        <v>136</v>
      </c>
      <c r="B38" s="29" t="str">
        <f>IF(OR(D4&lt;50,E4&lt;0.7),"Review","OK")  drag to k33.</f>
        <v>#ERROR!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2"/>
    </row>
    <row r="39" ht="31.5" customHeight="1">
      <c r="A39" s="28" t="s">
        <v>137</v>
      </c>
      <c r="B39" s="29" t="str">
        <f>IF(NOT(I4="Inactive"),"Process","Skip")  drag to l33.</f>
        <v>#ERROR!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2"/>
    </row>
    <row r="40" ht="31.5" customHeight="1">
      <c r="A40" s="28" t="s">
        <v>138</v>
      </c>
      <c r="B40" s="29" t="str">
        <f>IF(OR(AND(D4&gt;80,E4&gt;=0.9),AND(H4="North",F4&lt;30000)),"Bonus","No Bonus")  drag to m33.</f>
        <v>#ERROR!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"/>
    </row>
    <row r="41" ht="31.5" customHeight="1">
      <c r="A41" s="28" t="s">
        <v>139</v>
      </c>
      <c r="B41" s="29" t="str">
        <f>IF(D4&gt;=80,"A",IF(D4&gt;=60,"B",IF(D4&gt;=40,"C","D")))  drag to n33.  try ifs version too.</f>
        <v>#ERROR!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2"/>
    </row>
    <row r="42" ht="31.5" customHeight="1">
      <c r="A42" s="28" t="s">
        <v>140</v>
      </c>
      <c r="B42" s="29" t="str">
        <f>IF(D4&gt;AVERAGE($D$4:$D$33),"Above Avg","At/Below Avg")  drag to o33.</f>
        <v>#ERROR!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2"/>
    </row>
    <row r="43" ht="31.5" customHeight="1">
      <c r="A43" s="28" t="s">
        <v>141</v>
      </c>
      <c r="B43" s="29" t="str">
        <f>IF(D4=MAX($D$4:$D$33),"Top Performer","")  drag to p33.</f>
        <v>#ERROR!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2"/>
    </row>
    <row r="44" ht="31.5" customHeight="1">
      <c r="A44" s="28" t="s">
        <v>142</v>
      </c>
      <c r="B44" s="29" t="str">
        <f>ifs(AND(D4&gt;=80,E4&gt;=0.85),"Tier 1",AND(D4&gt;=60,E4&gt;=0.75),"Tier 2",TRUE(),"Tier 3")  drag to q33.</f>
        <v>#ERROR!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41:P41"/>
    <mergeCell ref="B42:P42"/>
    <mergeCell ref="B43:P43"/>
    <mergeCell ref="B44:P44"/>
    <mergeCell ref="A1:P1"/>
    <mergeCell ref="A2:P2"/>
    <mergeCell ref="A36:P36"/>
    <mergeCell ref="B37:P37"/>
    <mergeCell ref="B38:P38"/>
    <mergeCell ref="B39:P39"/>
    <mergeCell ref="B40:P4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60.0"/>
    <col customWidth="1" min="3" max="3" width="30.0"/>
    <col customWidth="1" min="4" max="26" width="8.71"/>
  </cols>
  <sheetData>
    <row r="1" ht="33.75" customHeight="1">
      <c r="A1" s="30" t="s">
        <v>143</v>
      </c>
      <c r="B1" s="16"/>
      <c r="C1" s="2"/>
    </row>
    <row r="2" ht="19.5" customHeight="1">
      <c r="A2" s="3" t="s">
        <v>144</v>
      </c>
      <c r="B2" s="16"/>
      <c r="C2" s="2"/>
    </row>
    <row r="3" ht="21.75" customHeight="1">
      <c r="A3" s="14" t="s">
        <v>145</v>
      </c>
      <c r="B3" s="14" t="s">
        <v>146</v>
      </c>
      <c r="C3" s="14" t="s">
        <v>147</v>
      </c>
    </row>
    <row r="4" ht="24.0" customHeight="1">
      <c r="A4" s="28" t="s">
        <v>148</v>
      </c>
      <c r="B4" s="31"/>
      <c r="C4" s="32" t="s">
        <v>149</v>
      </c>
    </row>
    <row r="5" ht="24.0" customHeight="1">
      <c r="A5" s="31" t="s">
        <v>150</v>
      </c>
      <c r="B5" s="31">
        <f>COUNTIFS(Part_I_Data!C4:C33,"Sales")</f>
        <v>6</v>
      </c>
      <c r="C5" s="33"/>
    </row>
    <row r="6" ht="24.0" customHeight="1">
      <c r="A6" s="28" t="s">
        <v>151</v>
      </c>
      <c r="B6" s="31"/>
      <c r="C6" s="32" t="s">
        <v>152</v>
      </c>
    </row>
    <row r="7" ht="24.0" customHeight="1">
      <c r="A7" s="31" t="s">
        <v>150</v>
      </c>
      <c r="B7" s="31">
        <f>COUNTIFS(Part_I_Data!I4:I33,"Active",Part_I_Data!D4:D33,"&gt;70")</f>
        <v>11</v>
      </c>
      <c r="C7" s="33"/>
    </row>
    <row r="8" ht="24.0" customHeight="1">
      <c r="A8" s="28" t="s">
        <v>153</v>
      </c>
      <c r="B8" s="31"/>
      <c r="C8" s="32" t="s">
        <v>154</v>
      </c>
    </row>
    <row r="9" ht="24.0" customHeight="1">
      <c r="A9" s="31" t="s">
        <v>150</v>
      </c>
      <c r="B9" s="31">
        <f>COUNTIFS(Part_I_Data!C4:C33,"IT",Part_I_Data!H4:H33,"North",Part_I_Data!G4:G33,"&gt;2020")</f>
        <v>1</v>
      </c>
      <c r="C9" s="33"/>
    </row>
    <row r="10" ht="24.0" customHeight="1">
      <c r="A10" s="28" t="s">
        <v>155</v>
      </c>
      <c r="B10" s="31"/>
      <c r="C10" s="32" t="s">
        <v>156</v>
      </c>
    </row>
    <row r="11" ht="24.0" customHeight="1">
      <c r="A11" s="31" t="s">
        <v>150</v>
      </c>
      <c r="B11" s="31">
        <f>COUNTIFS(Part_I_Data!D4:D33,"&gt;=60",Part_I_Data!D4:D33,"&lt;=80")</f>
        <v>10</v>
      </c>
      <c r="C11" s="33"/>
    </row>
    <row r="12" ht="24.0" customHeight="1">
      <c r="A12" s="28" t="s">
        <v>157</v>
      </c>
      <c r="B12" s="31"/>
      <c r="C12" s="32" t="s">
        <v>158</v>
      </c>
    </row>
    <row r="13" ht="24.0" customHeight="1">
      <c r="A13" s="31" t="s">
        <v>150</v>
      </c>
      <c r="B13" s="31">
        <f>SUMIFS(Part_I_Data!F4:F33,Part_I_Data!C4:C33,"HR",Part_I_Data!H4:H33,"South")</f>
        <v>90440</v>
      </c>
      <c r="C13" s="33"/>
    </row>
    <row r="14" ht="24.0" customHeight="1">
      <c r="A14" s="28" t="s">
        <v>159</v>
      </c>
      <c r="B14" s="31"/>
      <c r="C14" s="32" t="s">
        <v>160</v>
      </c>
    </row>
    <row r="15" ht="24.0" customHeight="1">
      <c r="A15" s="31" t="s">
        <v>150</v>
      </c>
      <c r="B15" s="31">
        <f>SUMIFS(Part_I_Data!F4:F33,Part_I_Data!I4:I33,"Active",Part_I_Data!D4:D33,"&gt;=80")</f>
        <v>412457</v>
      </c>
      <c r="C15" s="33"/>
    </row>
    <row r="16" ht="24.0" customHeight="1">
      <c r="A16" s="28" t="s">
        <v>161</v>
      </c>
      <c r="B16" s="31"/>
      <c r="C16" s="32" t="s">
        <v>162</v>
      </c>
    </row>
    <row r="17" ht="24.0" customHeight="1">
      <c r="A17" s="31" t="s">
        <v>150</v>
      </c>
      <c r="B17" s="31">
        <f>AVERAGEIFS(Part_I_Data!D4:D33,Part_I_Data!C4:C33,"Finance",Part_I_Data!I4:I33,"Active")</f>
        <v>79.33333333</v>
      </c>
      <c r="C17" s="33"/>
    </row>
    <row r="18" ht="24.0" customHeight="1">
      <c r="A18" s="28" t="s">
        <v>163</v>
      </c>
      <c r="B18" s="31"/>
      <c r="C18" s="32" t="s">
        <v>164</v>
      </c>
    </row>
    <row r="19" ht="24.0" customHeight="1">
      <c r="A19" s="31" t="s">
        <v>150</v>
      </c>
      <c r="B19" s="31">
        <f>AVERAGEIFS(Part_I_Data!F4:F33,Part_I_Data!C4:C33,"Ops",Part_I_Data!E4:E33,"&gt;=0.85")</f>
        <v>63518.75</v>
      </c>
      <c r="C19" s="33"/>
    </row>
    <row r="21" ht="15.75" customHeight="1"/>
    <row r="22" ht="25.5" customHeight="1">
      <c r="A22" s="27" t="s">
        <v>165</v>
      </c>
      <c r="B22" s="16"/>
      <c r="C22" s="2"/>
    </row>
    <row r="23" ht="21.75" customHeight="1">
      <c r="A23" s="4" t="s">
        <v>166</v>
      </c>
      <c r="B23" s="34" t="s">
        <v>62</v>
      </c>
      <c r="C23" s="35"/>
    </row>
    <row r="24" ht="21.75" customHeight="1">
      <c r="A24" s="4" t="s">
        <v>167</v>
      </c>
      <c r="B24" s="34" t="s">
        <v>58</v>
      </c>
      <c r="C24" s="35"/>
    </row>
    <row r="25" ht="21.75" customHeight="1">
      <c r="A25" s="4" t="s">
        <v>168</v>
      </c>
      <c r="B25" s="36">
        <f>COUNTIFS(Part_I_Data!C4:C33,E4,Part_I_Data!H4:H33,E5)</f>
        <v>0</v>
      </c>
      <c r="C25" s="35" t="s">
        <v>169</v>
      </c>
    </row>
    <row r="26" ht="21.75" customHeight="1">
      <c r="A26" s="4" t="s">
        <v>170</v>
      </c>
      <c r="B26" s="36">
        <f>SUMIFS(Part_I_Data!F4:F33,Part_I_Data!C4:C33,E4,Part_I_Data!H4:H33,E5)</f>
        <v>0</v>
      </c>
      <c r="C26" s="35"/>
    </row>
    <row r="27" ht="21.75" customHeight="1">
      <c r="A27" s="4" t="s">
        <v>171</v>
      </c>
      <c r="B27" s="36" t="str">
        <f>AVERAGEIFS(Part_I_Data!D4:D33,Part_I_Data!C4:C33,E4,Part_I_Data!H4:H33,E5)</f>
        <v>#DIV/0!</v>
      </c>
      <c r="C27" s="3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22:C2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12.0"/>
    <col customWidth="1" min="4" max="4" width="14.0"/>
    <col customWidth="1" min="5" max="6" width="12.0"/>
    <col customWidth="1" min="7" max="9" width="14.0"/>
    <col customWidth="1" min="10" max="17" width="18.0"/>
    <col customWidth="1" min="18" max="18" width="14.0"/>
    <col customWidth="1" min="19" max="26" width="8.71"/>
  </cols>
  <sheetData>
    <row r="1" ht="33.75" customHeight="1">
      <c r="A1" s="37" t="s">
        <v>172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2"/>
    </row>
    <row r="2" ht="19.5" customHeight="1">
      <c r="A2" s="3" t="s">
        <v>173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2"/>
    </row>
    <row r="3" ht="24.0" customHeight="1">
      <c r="A3" s="38" t="s">
        <v>38</v>
      </c>
      <c r="B3" s="38" t="s">
        <v>39</v>
      </c>
      <c r="C3" s="38" t="s">
        <v>40</v>
      </c>
      <c r="D3" s="38" t="s">
        <v>174</v>
      </c>
      <c r="E3" s="38" t="s">
        <v>43</v>
      </c>
      <c r="F3" s="38" t="s">
        <v>175</v>
      </c>
      <c r="G3" s="38" t="s">
        <v>176</v>
      </c>
      <c r="I3" s="39" t="s">
        <v>177</v>
      </c>
      <c r="J3" s="17" t="s">
        <v>178</v>
      </c>
      <c r="K3" s="17" t="s">
        <v>179</v>
      </c>
      <c r="L3" s="17" t="s">
        <v>180</v>
      </c>
      <c r="M3" s="40" t="s">
        <v>181</v>
      </c>
      <c r="N3" s="41" t="s">
        <v>182</v>
      </c>
      <c r="O3" s="42" t="s">
        <v>183</v>
      </c>
      <c r="P3" s="43" t="s">
        <v>184</v>
      </c>
      <c r="Q3" s="44" t="s">
        <v>185</v>
      </c>
    </row>
    <row r="4" ht="18.0" customHeight="1">
      <c r="A4" s="18" t="s">
        <v>55</v>
      </c>
      <c r="B4" s="15" t="s">
        <v>56</v>
      </c>
      <c r="C4" s="15" t="s">
        <v>57</v>
      </c>
      <c r="D4" s="15" t="s">
        <v>186</v>
      </c>
      <c r="E4" s="45">
        <v>54048.0</v>
      </c>
      <c r="F4" s="15" t="s">
        <v>187</v>
      </c>
      <c r="G4" s="46">
        <v>43101.0</v>
      </c>
      <c r="I4" s="47" t="s">
        <v>64</v>
      </c>
      <c r="J4" s="22"/>
      <c r="K4" s="22"/>
      <c r="L4" s="22"/>
      <c r="M4" s="22"/>
      <c r="N4" s="22"/>
      <c r="O4" s="22"/>
      <c r="P4" s="22"/>
      <c r="Q4" s="22"/>
    </row>
    <row r="5" ht="18.0" customHeight="1">
      <c r="A5" s="23" t="s">
        <v>60</v>
      </c>
      <c r="B5" s="11" t="s">
        <v>61</v>
      </c>
      <c r="C5" s="11" t="s">
        <v>62</v>
      </c>
      <c r="D5" s="11" t="s">
        <v>188</v>
      </c>
      <c r="E5" s="48">
        <v>29395.0</v>
      </c>
      <c r="F5" s="11" t="s">
        <v>189</v>
      </c>
      <c r="G5" s="49">
        <v>43498.0</v>
      </c>
      <c r="I5" s="47" t="s">
        <v>79</v>
      </c>
      <c r="J5" s="22"/>
      <c r="K5" s="22"/>
      <c r="L5" s="22"/>
      <c r="M5" s="22"/>
      <c r="N5" s="22"/>
      <c r="O5" s="22"/>
      <c r="P5" s="22"/>
      <c r="Q5" s="22"/>
    </row>
    <row r="6" ht="18.0" customHeight="1">
      <c r="A6" s="18" t="s">
        <v>64</v>
      </c>
      <c r="B6" s="15" t="s">
        <v>65</v>
      </c>
      <c r="C6" s="15" t="s">
        <v>66</v>
      </c>
      <c r="D6" s="15" t="s">
        <v>190</v>
      </c>
      <c r="E6" s="45">
        <v>84237.0</v>
      </c>
      <c r="F6" s="15" t="s">
        <v>191</v>
      </c>
      <c r="G6" s="46">
        <v>43893.0</v>
      </c>
      <c r="I6" s="47" t="s">
        <v>92</v>
      </c>
      <c r="J6" s="22"/>
      <c r="K6" s="22"/>
      <c r="L6" s="22"/>
      <c r="M6" s="22"/>
      <c r="N6" s="22"/>
      <c r="O6" s="22"/>
      <c r="P6" s="22"/>
      <c r="Q6" s="22"/>
    </row>
    <row r="7" ht="18.0" customHeight="1">
      <c r="A7" s="23" t="s">
        <v>68</v>
      </c>
      <c r="B7" s="11" t="s">
        <v>69</v>
      </c>
      <c r="C7" s="11" t="s">
        <v>70</v>
      </c>
      <c r="D7" s="11" t="s">
        <v>192</v>
      </c>
      <c r="E7" s="48">
        <v>72987.0</v>
      </c>
      <c r="F7" s="11" t="s">
        <v>193</v>
      </c>
      <c r="G7" s="49">
        <v>44290.0</v>
      </c>
      <c r="I7" s="47" t="s">
        <v>102</v>
      </c>
      <c r="J7" s="22"/>
      <c r="K7" s="22"/>
      <c r="L7" s="22"/>
      <c r="M7" s="22"/>
      <c r="N7" s="22"/>
      <c r="O7" s="22"/>
      <c r="P7" s="22"/>
      <c r="Q7" s="22"/>
    </row>
    <row r="8" ht="18.0" customHeight="1">
      <c r="A8" s="18" t="s">
        <v>72</v>
      </c>
      <c r="B8" s="15" t="s">
        <v>73</v>
      </c>
      <c r="C8" s="15" t="s">
        <v>74</v>
      </c>
      <c r="D8" s="15" t="s">
        <v>194</v>
      </c>
      <c r="E8" s="45">
        <v>38926.0</v>
      </c>
      <c r="F8" s="15" t="s">
        <v>195</v>
      </c>
      <c r="G8" s="46">
        <v>44686.0</v>
      </c>
      <c r="I8" s="47" t="s">
        <v>108</v>
      </c>
      <c r="J8" s="22"/>
      <c r="K8" s="22"/>
      <c r="L8" s="22"/>
      <c r="M8" s="22"/>
      <c r="N8" s="22"/>
      <c r="O8" s="22"/>
      <c r="P8" s="22"/>
      <c r="Q8" s="22"/>
    </row>
    <row r="9" ht="18.0" customHeight="1">
      <c r="A9" s="23" t="s">
        <v>75</v>
      </c>
      <c r="B9" s="11" t="s">
        <v>76</v>
      </c>
      <c r="C9" s="11" t="s">
        <v>57</v>
      </c>
      <c r="D9" s="11" t="s">
        <v>188</v>
      </c>
      <c r="E9" s="48">
        <v>62118.0</v>
      </c>
      <c r="F9" s="11" t="s">
        <v>187</v>
      </c>
      <c r="G9" s="49">
        <v>45083.0</v>
      </c>
      <c r="I9" s="47" t="s">
        <v>114</v>
      </c>
      <c r="J9" s="22"/>
      <c r="K9" s="22"/>
      <c r="L9" s="22"/>
      <c r="M9" s="22"/>
      <c r="N9" s="22"/>
      <c r="O9" s="22"/>
      <c r="P9" s="22"/>
      <c r="Q9" s="22"/>
    </row>
    <row r="10" ht="18.0" customHeight="1">
      <c r="A10" s="18" t="s">
        <v>77</v>
      </c>
      <c r="B10" s="15" t="s">
        <v>78</v>
      </c>
      <c r="C10" s="15" t="s">
        <v>62</v>
      </c>
      <c r="D10" s="15" t="s">
        <v>196</v>
      </c>
      <c r="E10" s="45">
        <v>52671.0</v>
      </c>
      <c r="F10" s="15" t="s">
        <v>189</v>
      </c>
      <c r="G10" s="46">
        <v>45480.0</v>
      </c>
      <c r="I10" s="47" t="s">
        <v>55</v>
      </c>
      <c r="J10" s="22"/>
      <c r="K10" s="22"/>
      <c r="L10" s="22"/>
      <c r="M10" s="22"/>
      <c r="N10" s="22"/>
      <c r="O10" s="22"/>
      <c r="P10" s="22"/>
      <c r="Q10" s="22"/>
    </row>
    <row r="11" ht="18.0" customHeight="1">
      <c r="A11" s="23" t="s">
        <v>79</v>
      </c>
      <c r="B11" s="11" t="s">
        <v>80</v>
      </c>
      <c r="C11" s="11" t="s">
        <v>66</v>
      </c>
      <c r="D11" s="11" t="s">
        <v>197</v>
      </c>
      <c r="E11" s="48">
        <v>67615.0</v>
      </c>
      <c r="F11" s="11" t="s">
        <v>191</v>
      </c>
      <c r="G11" s="49">
        <v>43320.0</v>
      </c>
      <c r="I11" s="47" t="s">
        <v>118</v>
      </c>
      <c r="J11" s="22"/>
      <c r="K11" s="22"/>
      <c r="L11" s="22"/>
      <c r="M11" s="22"/>
      <c r="N11" s="22"/>
      <c r="O11" s="22"/>
      <c r="P11" s="22"/>
      <c r="Q11" s="22"/>
    </row>
    <row r="12" ht="18.0" customHeight="1">
      <c r="A12" s="18" t="s">
        <v>82</v>
      </c>
      <c r="B12" s="15" t="s">
        <v>83</v>
      </c>
      <c r="C12" s="15" t="s">
        <v>70</v>
      </c>
      <c r="D12" s="15" t="s">
        <v>198</v>
      </c>
      <c r="E12" s="45">
        <v>65400.0</v>
      </c>
      <c r="F12" s="15" t="s">
        <v>193</v>
      </c>
      <c r="G12" s="46">
        <v>43717.0</v>
      </c>
      <c r="I12" s="47" t="s">
        <v>94</v>
      </c>
      <c r="J12" s="22"/>
      <c r="K12" s="22"/>
      <c r="L12" s="22"/>
      <c r="M12" s="22"/>
      <c r="N12" s="22"/>
      <c r="O12" s="22"/>
      <c r="P12" s="22"/>
      <c r="Q12" s="22"/>
    </row>
    <row r="13" ht="18.0" customHeight="1">
      <c r="A13" s="23" t="s">
        <v>84</v>
      </c>
      <c r="B13" s="11" t="s">
        <v>85</v>
      </c>
      <c r="C13" s="11" t="s">
        <v>74</v>
      </c>
      <c r="D13" s="11" t="s">
        <v>188</v>
      </c>
      <c r="E13" s="48">
        <v>55930.0</v>
      </c>
      <c r="F13" s="11" t="s">
        <v>195</v>
      </c>
      <c r="G13" s="49">
        <v>44114.0</v>
      </c>
      <c r="I13" s="47" t="s">
        <v>124</v>
      </c>
      <c r="J13" s="22"/>
      <c r="K13" s="22"/>
      <c r="L13" s="22"/>
      <c r="M13" s="22"/>
      <c r="N13" s="22"/>
      <c r="O13" s="22"/>
      <c r="P13" s="22"/>
      <c r="Q13" s="22"/>
    </row>
    <row r="14" ht="18.0" customHeight="1">
      <c r="A14" s="18" t="s">
        <v>86</v>
      </c>
      <c r="B14" s="15" t="s">
        <v>87</v>
      </c>
      <c r="C14" s="15" t="s">
        <v>57</v>
      </c>
      <c r="D14" s="15" t="s">
        <v>190</v>
      </c>
      <c r="E14" s="45">
        <v>65819.0</v>
      </c>
      <c r="F14" s="15" t="s">
        <v>187</v>
      </c>
      <c r="G14" s="46">
        <v>44511.0</v>
      </c>
      <c r="I14" s="47" t="s">
        <v>199</v>
      </c>
      <c r="J14" s="22"/>
      <c r="K14" s="22"/>
      <c r="L14" s="22"/>
      <c r="M14" s="22"/>
      <c r="N14" s="22"/>
      <c r="O14" s="22"/>
      <c r="P14" s="22"/>
      <c r="Q14" s="22"/>
    </row>
    <row r="15" ht="18.0" customHeight="1">
      <c r="A15" s="23" t="s">
        <v>88</v>
      </c>
      <c r="B15" s="11" t="s">
        <v>89</v>
      </c>
      <c r="C15" s="11" t="s">
        <v>62</v>
      </c>
      <c r="D15" s="11" t="s">
        <v>197</v>
      </c>
      <c r="E15" s="48">
        <v>27358.0</v>
      </c>
      <c r="F15" s="11" t="s">
        <v>189</v>
      </c>
      <c r="G15" s="49">
        <v>44907.0</v>
      </c>
    </row>
    <row r="16" ht="18.0" customHeight="1">
      <c r="A16" s="18" t="s">
        <v>90</v>
      </c>
      <c r="B16" s="15" t="s">
        <v>91</v>
      </c>
      <c r="C16" s="15" t="s">
        <v>66</v>
      </c>
      <c r="D16" s="15" t="s">
        <v>186</v>
      </c>
      <c r="E16" s="45">
        <v>78589.0</v>
      </c>
      <c r="F16" s="15" t="s">
        <v>191</v>
      </c>
      <c r="G16" s="46">
        <v>44939.0</v>
      </c>
    </row>
    <row r="17" ht="25.5" customHeight="1">
      <c r="A17" s="27" t="s">
        <v>200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50"/>
    </row>
    <row r="18" ht="30.0" customHeight="1">
      <c r="A18" s="28" t="s">
        <v>201</v>
      </c>
      <c r="B18" s="29" t="str">
        <f>VLOOKUP(I4, $A$4:$G$33, 2, FALSE())  drag to j14.</f>
        <v>#ERROR!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50"/>
    </row>
    <row r="19" ht="30.0" customHeight="1">
      <c r="A19" s="28" t="s">
        <v>202</v>
      </c>
      <c r="B19" s="29" t="str">
        <f>VLOOKUP(I4, $A$4:$G$33, 3, FALSE())  drag to k14.</f>
        <v>#ERROR!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50"/>
    </row>
    <row r="20" ht="30.0" customHeight="1">
      <c r="A20" s="28" t="s">
        <v>203</v>
      </c>
      <c r="B20" s="29" t="str">
        <f>VLOOKUP(I4, $A$4:$G$33, 5, FALSE())  drag to l14.</f>
        <v>#ERROR!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50"/>
    </row>
    <row r="21" ht="30.0" customHeight="1">
      <c r="A21" s="28" t="s">
        <v>204</v>
      </c>
      <c r="B21" s="29" t="str">
        <f>IFERROR(VLOOKUP(I4,$A$4:$G$33,2,FALSE()),"Not Found")  drag to m14. I14=Z999 triggers the error.</f>
        <v>#ERROR!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50"/>
    </row>
    <row r="22" ht="30.0" customHeight="1">
      <c r="A22" s="28" t="s">
        <v>205</v>
      </c>
      <c r="B22" s="29" t="str">
        <f>xlookup(I4, A4:A33, B4:B33, "Not Found")  drag to n14.(excel 365 only)</f>
        <v>#ERROR!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50"/>
    </row>
    <row r="23" ht="30.0" customHeight="1">
      <c r="A23" s="28" t="s">
        <v>206</v>
      </c>
      <c r="B23" s="29" t="str">
        <f>MATCH(I4, $A$4:$A$33, 0)  drag to o14.  returns row position.</f>
        <v>#ERROR!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50"/>
    </row>
    <row r="24" ht="30.0" customHeight="1">
      <c r="A24" s="28" t="s">
        <v>207</v>
      </c>
      <c r="B24" s="29" t="str">
        <f>INDEX($B$4:$B$33, MATCH(I4,$A$4:$A$33,0))  drag to p14.</f>
        <v>#ERROR!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50"/>
    </row>
    <row r="25" ht="30.0" customHeight="1">
      <c r="A25" s="28" t="s">
        <v>208</v>
      </c>
      <c r="B25" s="29" t="str">
        <f>INDEX($D$4:$D$33, MATCH(I4,$A$4:$A$33,0))  drag to q14.</f>
        <v>#ERROR!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50"/>
    </row>
    <row r="26" ht="30.0" customHeight="1">
      <c r="A26" s="28" t="s">
        <v>209</v>
      </c>
      <c r="B26" s="29" t="s">
        <v>210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50"/>
    </row>
    <row r="27" ht="18.0" customHeight="1">
      <c r="A27" s="23" t="s">
        <v>112</v>
      </c>
      <c r="B27" s="11" t="s">
        <v>113</v>
      </c>
      <c r="C27" s="11" t="s">
        <v>70</v>
      </c>
      <c r="D27" s="11" t="s">
        <v>197</v>
      </c>
      <c r="E27" s="48">
        <v>38032.0</v>
      </c>
      <c r="F27" s="11" t="s">
        <v>193</v>
      </c>
      <c r="G27" s="49">
        <v>44189.0</v>
      </c>
    </row>
    <row r="28" ht="18.0" customHeight="1">
      <c r="A28" s="18" t="s">
        <v>114</v>
      </c>
      <c r="B28" s="15" t="s">
        <v>115</v>
      </c>
      <c r="C28" s="15" t="s">
        <v>74</v>
      </c>
      <c r="D28" s="15" t="s">
        <v>194</v>
      </c>
      <c r="E28" s="45">
        <v>82042.0</v>
      </c>
      <c r="F28" s="15" t="s">
        <v>195</v>
      </c>
      <c r="G28" s="46">
        <v>44221.0</v>
      </c>
    </row>
    <row r="29" ht="18.0" customHeight="1">
      <c r="A29" s="23" t="s">
        <v>116</v>
      </c>
      <c r="B29" s="11" t="s">
        <v>117</v>
      </c>
      <c r="C29" s="11" t="s">
        <v>57</v>
      </c>
      <c r="D29" s="11" t="s">
        <v>188</v>
      </c>
      <c r="E29" s="48">
        <v>28322.0</v>
      </c>
      <c r="F29" s="11" t="s">
        <v>187</v>
      </c>
      <c r="G29" s="49">
        <v>44618.0</v>
      </c>
    </row>
    <row r="30" ht="18.0" customHeight="1">
      <c r="A30" s="18" t="s">
        <v>118</v>
      </c>
      <c r="B30" s="15" t="s">
        <v>119</v>
      </c>
      <c r="C30" s="15" t="s">
        <v>62</v>
      </c>
      <c r="D30" s="15" t="s">
        <v>211</v>
      </c>
      <c r="E30" s="45">
        <v>34483.0</v>
      </c>
      <c r="F30" s="15" t="s">
        <v>189</v>
      </c>
      <c r="G30" s="46">
        <v>45012.0</v>
      </c>
    </row>
    <row r="31" ht="18.0" customHeight="1">
      <c r="A31" s="23" t="s">
        <v>120</v>
      </c>
      <c r="B31" s="11" t="s">
        <v>121</v>
      </c>
      <c r="C31" s="11" t="s">
        <v>66</v>
      </c>
      <c r="D31" s="11" t="s">
        <v>197</v>
      </c>
      <c r="E31" s="48">
        <v>73461.0</v>
      </c>
      <c r="F31" s="11" t="s">
        <v>191</v>
      </c>
      <c r="G31" s="49">
        <v>45410.0</v>
      </c>
    </row>
    <row r="32" ht="18.0" customHeight="1">
      <c r="A32" s="18" t="s">
        <v>122</v>
      </c>
      <c r="B32" s="15" t="s">
        <v>123</v>
      </c>
      <c r="C32" s="15" t="s">
        <v>70</v>
      </c>
      <c r="D32" s="15" t="s">
        <v>194</v>
      </c>
      <c r="E32" s="45">
        <v>58857.0</v>
      </c>
      <c r="F32" s="15" t="s">
        <v>193</v>
      </c>
      <c r="G32" s="46">
        <v>43221.0</v>
      </c>
    </row>
    <row r="33" ht="18.0" customHeight="1">
      <c r="A33" s="23" t="s">
        <v>124</v>
      </c>
      <c r="B33" s="11" t="s">
        <v>125</v>
      </c>
      <c r="C33" s="11" t="s">
        <v>74</v>
      </c>
      <c r="D33" s="11" t="s">
        <v>188</v>
      </c>
      <c r="E33" s="48">
        <v>77177.0</v>
      </c>
      <c r="F33" s="11" t="s">
        <v>195</v>
      </c>
      <c r="G33" s="49">
        <v>43618.0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22:Q22"/>
    <mergeCell ref="B23:Q23"/>
    <mergeCell ref="B24:Q24"/>
    <mergeCell ref="B25:Q25"/>
    <mergeCell ref="B26:Q26"/>
    <mergeCell ref="A1:R1"/>
    <mergeCell ref="A2:R2"/>
    <mergeCell ref="A17:Q17"/>
    <mergeCell ref="B18:Q18"/>
    <mergeCell ref="B19:Q19"/>
    <mergeCell ref="B20:Q20"/>
    <mergeCell ref="B21:Q2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13" width="10.0"/>
    <col customWidth="1" min="14" max="15" width="20.0"/>
    <col customWidth="1" min="16" max="26" width="8.71"/>
  </cols>
  <sheetData>
    <row r="1" ht="33.75" customHeight="1">
      <c r="A1" s="37" t="s">
        <v>212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2"/>
    </row>
    <row r="2" ht="19.5" customHeight="1">
      <c r="A2" s="3" t="s">
        <v>213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2"/>
    </row>
    <row r="3">
      <c r="A3" s="14" t="s">
        <v>214</v>
      </c>
      <c r="B3" s="38" t="s">
        <v>215</v>
      </c>
      <c r="C3" s="38" t="s">
        <v>216</v>
      </c>
      <c r="D3" s="38" t="s">
        <v>217</v>
      </c>
      <c r="E3" s="38" t="s">
        <v>218</v>
      </c>
      <c r="F3" s="38" t="s">
        <v>219</v>
      </c>
      <c r="G3" s="38" t="s">
        <v>220</v>
      </c>
      <c r="H3" s="38" t="s">
        <v>221</v>
      </c>
      <c r="I3" s="38" t="s">
        <v>222</v>
      </c>
      <c r="J3" s="38" t="s">
        <v>223</v>
      </c>
      <c r="K3" s="38" t="s">
        <v>224</v>
      </c>
      <c r="L3" s="38" t="s">
        <v>225</v>
      </c>
      <c r="M3" s="38" t="s">
        <v>226</v>
      </c>
    </row>
    <row r="4" ht="21.75" customHeight="1">
      <c r="A4" s="8" t="s">
        <v>227</v>
      </c>
      <c r="B4" s="45">
        <v>46309.0</v>
      </c>
      <c r="C4" s="45">
        <v>46119.0</v>
      </c>
      <c r="D4" s="45">
        <v>44639.0</v>
      </c>
      <c r="E4" s="45">
        <v>47910.0</v>
      </c>
      <c r="F4" s="45">
        <v>44464.0</v>
      </c>
      <c r="G4" s="45">
        <v>44886.0</v>
      </c>
      <c r="H4" s="45">
        <v>45035.0</v>
      </c>
      <c r="I4" s="45">
        <v>44091.0</v>
      </c>
      <c r="J4" s="45">
        <v>43709.0</v>
      </c>
      <c r="K4" s="45">
        <v>45057.0</v>
      </c>
      <c r="L4" s="45">
        <v>46138.0</v>
      </c>
      <c r="M4" s="45">
        <v>47348.0</v>
      </c>
    </row>
    <row r="5" ht="21.75" customHeight="1">
      <c r="A5" s="8" t="s">
        <v>228</v>
      </c>
      <c r="B5" s="48">
        <v>20412.0</v>
      </c>
      <c r="C5" s="48">
        <v>16735.0</v>
      </c>
      <c r="D5" s="48">
        <v>20008.0</v>
      </c>
      <c r="E5" s="48">
        <v>17634.0</v>
      </c>
      <c r="F5" s="48">
        <v>19454.0</v>
      </c>
      <c r="G5" s="48">
        <v>20820.0</v>
      </c>
      <c r="H5" s="48">
        <v>17775.0</v>
      </c>
      <c r="I5" s="48">
        <v>19063.0</v>
      </c>
      <c r="J5" s="48">
        <v>19179.0</v>
      </c>
      <c r="K5" s="48">
        <v>17741.0</v>
      </c>
      <c r="L5" s="48">
        <v>17247.0</v>
      </c>
      <c r="M5" s="48">
        <v>19780.0</v>
      </c>
    </row>
    <row r="6" ht="21.75" customHeight="1">
      <c r="A6" s="8" t="s">
        <v>229</v>
      </c>
      <c r="B6" s="45">
        <v>24466.0</v>
      </c>
      <c r="C6" s="45">
        <v>27644.0</v>
      </c>
      <c r="D6" s="45">
        <v>25775.0</v>
      </c>
      <c r="E6" s="45">
        <v>23679.0</v>
      </c>
      <c r="F6" s="45">
        <v>27331.0</v>
      </c>
      <c r="G6" s="45">
        <v>23719.0</v>
      </c>
      <c r="H6" s="45">
        <v>26842.0</v>
      </c>
      <c r="I6" s="45">
        <v>25591.0</v>
      </c>
      <c r="J6" s="45">
        <v>26298.0</v>
      </c>
      <c r="K6" s="45">
        <v>23349.0</v>
      </c>
      <c r="L6" s="45">
        <v>25206.0</v>
      </c>
      <c r="M6" s="45">
        <v>27570.0</v>
      </c>
    </row>
    <row r="7" ht="21.75" customHeight="1">
      <c r="A7" s="8" t="s">
        <v>230</v>
      </c>
      <c r="B7" s="48">
        <v>1562.0</v>
      </c>
      <c r="C7" s="48">
        <v>4983.0</v>
      </c>
      <c r="D7" s="48">
        <v>3169.0</v>
      </c>
      <c r="E7" s="48">
        <v>4469.0</v>
      </c>
      <c r="F7" s="48">
        <v>5877.0</v>
      </c>
      <c r="G7" s="48">
        <v>2162.0</v>
      </c>
      <c r="H7" s="48">
        <v>5285.0</v>
      </c>
      <c r="I7" s="48">
        <v>5748.0</v>
      </c>
      <c r="J7" s="48">
        <v>3122.0</v>
      </c>
      <c r="K7" s="48">
        <v>6460.0</v>
      </c>
      <c r="L7" s="48">
        <v>5290.0</v>
      </c>
      <c r="M7" s="48">
        <v>1920.0</v>
      </c>
    </row>
    <row r="8" ht="21.75" customHeight="1">
      <c r="A8" s="8" t="s">
        <v>231</v>
      </c>
      <c r="B8" s="45">
        <v>8928.0</v>
      </c>
      <c r="C8" s="45">
        <v>7057.0</v>
      </c>
      <c r="D8" s="45">
        <v>7768.0</v>
      </c>
      <c r="E8" s="45">
        <v>7317.0</v>
      </c>
      <c r="F8" s="45">
        <v>9618.0</v>
      </c>
      <c r="G8" s="45">
        <v>10877.0</v>
      </c>
      <c r="H8" s="45">
        <v>7455.0</v>
      </c>
      <c r="I8" s="45">
        <v>10122.0</v>
      </c>
      <c r="J8" s="45">
        <v>7441.0</v>
      </c>
      <c r="K8" s="45">
        <v>6303.0</v>
      </c>
      <c r="L8" s="45">
        <v>6899.0</v>
      </c>
      <c r="M8" s="45">
        <v>6190.0</v>
      </c>
    </row>
    <row r="10" ht="25.5" customHeight="1">
      <c r="A10" s="27" t="s">
        <v>232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2"/>
    </row>
    <row r="11" ht="30.0" customHeight="1">
      <c r="A11" s="28" t="s">
        <v>233</v>
      </c>
      <c r="B11" s="29" t="s">
        <v>234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2"/>
    </row>
    <row r="12" ht="30.0" customHeight="1">
      <c r="A12" s="28" t="s">
        <v>235</v>
      </c>
      <c r="B12" s="29" t="s">
        <v>236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2"/>
    </row>
    <row r="13" ht="30.0" customHeight="1">
      <c r="A13" s="28" t="s">
        <v>237</v>
      </c>
      <c r="B13" s="29" t="s">
        <v>238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2"/>
    </row>
    <row r="14" ht="30.0" customHeight="1">
      <c r="A14" s="28" t="s">
        <v>239</v>
      </c>
      <c r="B14" s="29" t="str">
        <f>IFERROR(HLOOKUP("Monsoon",$A$3:$M$7,2,FALSE()),"Month not found")</f>
        <v>Month not found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2"/>
    </row>
    <row r="16" ht="27.75" customHeight="1">
      <c r="A16" s="51" t="s">
        <v>240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10:O10"/>
    <mergeCell ref="B11:O11"/>
    <mergeCell ref="B12:O12"/>
    <mergeCell ref="B13:O13"/>
    <mergeCell ref="B14:O14"/>
    <mergeCell ref="A16:O16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22.0"/>
    <col customWidth="1" min="3" max="4" width="12.0"/>
    <col customWidth="1" min="5" max="5" width="20.0"/>
    <col customWidth="1" min="6" max="7" width="30.0"/>
    <col customWidth="1" min="8" max="26" width="8.71"/>
  </cols>
  <sheetData>
    <row r="1" ht="33.75" customHeight="1">
      <c r="A1" s="52" t="s">
        <v>241</v>
      </c>
      <c r="B1" s="16"/>
      <c r="C1" s="16"/>
      <c r="D1" s="16"/>
      <c r="E1" s="16"/>
      <c r="F1" s="16"/>
      <c r="G1" s="2"/>
    </row>
    <row r="2" ht="19.5" customHeight="1">
      <c r="A2" s="3" t="s">
        <v>242</v>
      </c>
      <c r="B2" s="16"/>
      <c r="C2" s="16"/>
      <c r="D2" s="16"/>
      <c r="E2" s="16"/>
      <c r="F2" s="16"/>
      <c r="G2" s="2"/>
    </row>
    <row r="3" ht="24.0" customHeight="1">
      <c r="A3" s="53" t="s">
        <v>175</v>
      </c>
      <c r="B3" s="53" t="s">
        <v>243</v>
      </c>
      <c r="C3" s="53" t="s">
        <v>45</v>
      </c>
      <c r="D3" s="53" t="s">
        <v>244</v>
      </c>
      <c r="E3" s="53" t="s">
        <v>245</v>
      </c>
    </row>
    <row r="4" ht="19.5" customHeight="1">
      <c r="A4" s="18" t="s">
        <v>187</v>
      </c>
      <c r="B4" s="15" t="s">
        <v>65</v>
      </c>
      <c r="C4" s="15" t="s">
        <v>58</v>
      </c>
      <c r="D4" s="15" t="s">
        <v>62</v>
      </c>
      <c r="E4" s="15" t="s">
        <v>246</v>
      </c>
    </row>
    <row r="5" ht="19.5" customHeight="1">
      <c r="A5" s="23" t="s">
        <v>189</v>
      </c>
      <c r="B5" s="11" t="s">
        <v>69</v>
      </c>
      <c r="C5" s="11" t="s">
        <v>63</v>
      </c>
      <c r="D5" s="11" t="s">
        <v>66</v>
      </c>
      <c r="E5" s="11" t="s">
        <v>247</v>
      </c>
    </row>
    <row r="6" ht="19.5" customHeight="1">
      <c r="A6" s="18" t="s">
        <v>191</v>
      </c>
      <c r="B6" s="15" t="s">
        <v>73</v>
      </c>
      <c r="C6" s="15" t="s">
        <v>67</v>
      </c>
      <c r="D6" s="15" t="s">
        <v>70</v>
      </c>
      <c r="E6" s="15" t="s">
        <v>248</v>
      </c>
    </row>
    <row r="7" ht="19.5" customHeight="1">
      <c r="A7" s="23" t="s">
        <v>193</v>
      </c>
      <c r="B7" s="11" t="s">
        <v>80</v>
      </c>
      <c r="C7" s="11" t="s">
        <v>71</v>
      </c>
      <c r="D7" s="11" t="s">
        <v>57</v>
      </c>
      <c r="E7" s="11" t="s">
        <v>249</v>
      </c>
    </row>
    <row r="8" ht="19.5" customHeight="1">
      <c r="A8" s="18" t="s">
        <v>195</v>
      </c>
      <c r="B8" s="15" t="s">
        <v>83</v>
      </c>
      <c r="C8" s="15" t="s">
        <v>58</v>
      </c>
      <c r="D8" s="15" t="s">
        <v>74</v>
      </c>
      <c r="E8" s="15" t="s">
        <v>250</v>
      </c>
    </row>
    <row r="9" ht="19.5" customHeight="1">
      <c r="A9" s="23" t="s">
        <v>251</v>
      </c>
      <c r="B9" s="11" t="s">
        <v>85</v>
      </c>
      <c r="C9" s="11" t="s">
        <v>63</v>
      </c>
      <c r="D9" s="11" t="s">
        <v>62</v>
      </c>
      <c r="E9" s="11" t="s">
        <v>252</v>
      </c>
    </row>
    <row r="10" ht="19.5" customHeight="1">
      <c r="A10" s="18" t="s">
        <v>253</v>
      </c>
      <c r="B10" s="15" t="s">
        <v>87</v>
      </c>
      <c r="C10" s="15" t="s">
        <v>67</v>
      </c>
      <c r="D10" s="15" t="s">
        <v>66</v>
      </c>
      <c r="E10" s="15" t="s">
        <v>254</v>
      </c>
    </row>
    <row r="11" ht="19.5" customHeight="1">
      <c r="A11" s="23" t="s">
        <v>255</v>
      </c>
      <c r="B11" s="11" t="s">
        <v>89</v>
      </c>
      <c r="C11" s="11" t="s">
        <v>71</v>
      </c>
      <c r="D11" s="11" t="s">
        <v>70</v>
      </c>
      <c r="E11" s="11" t="s">
        <v>256</v>
      </c>
    </row>
    <row r="12" ht="19.5" customHeight="1">
      <c r="A12" s="18" t="s">
        <v>257</v>
      </c>
      <c r="B12" s="15" t="s">
        <v>91</v>
      </c>
      <c r="C12" s="15" t="s">
        <v>58</v>
      </c>
      <c r="D12" s="15" t="s">
        <v>57</v>
      </c>
      <c r="E12" s="15" t="s">
        <v>258</v>
      </c>
    </row>
    <row r="13" ht="19.5" customHeight="1">
      <c r="A13" s="23" t="s">
        <v>259</v>
      </c>
      <c r="B13" s="11" t="s">
        <v>93</v>
      </c>
      <c r="C13" s="11" t="s">
        <v>63</v>
      </c>
      <c r="D13" s="11" t="s">
        <v>74</v>
      </c>
      <c r="E13" s="11" t="s">
        <v>260</v>
      </c>
    </row>
    <row r="16" ht="25.5" customHeight="1">
      <c r="A16" s="27" t="s">
        <v>261</v>
      </c>
      <c r="B16" s="16"/>
      <c r="C16" s="16"/>
      <c r="D16" s="16"/>
      <c r="E16" s="16"/>
      <c r="F16" s="16"/>
      <c r="G16" s="2"/>
    </row>
    <row r="17" ht="30.0" customHeight="1">
      <c r="A17" s="28" t="s">
        <v>262</v>
      </c>
      <c r="B17" s="29" t="str">
        <f>MATCH("M007",A4:A13,0)  → returns 7 (M007 is 7th in the ID list)</f>
        <v>#ERROR!</v>
      </c>
      <c r="C17" s="16"/>
      <c r="D17" s="16"/>
      <c r="E17" s="16"/>
      <c r="F17" s="16"/>
      <c r="G17" s="2"/>
    </row>
    <row r="18" ht="30.0" customHeight="1">
      <c r="A18" s="28" t="s">
        <v>263</v>
      </c>
      <c r="B18" s="29" t="str">
        <f>INDEX(B4:B13,7)  → returns the name at position 7</f>
        <v>#ERROR!</v>
      </c>
      <c r="C18" s="16"/>
      <c r="D18" s="16"/>
      <c r="E18" s="16"/>
      <c r="F18" s="16"/>
      <c r="G18" s="2"/>
    </row>
    <row r="19" ht="30.0" customHeight="1">
      <c r="A19" s="28" t="s">
        <v>264</v>
      </c>
      <c r="B19" s="29" t="str">
        <f>INDEX(C4:C13,MATCH("M003",A4:A13,0))  → Region for M003</f>
        <v>#ERROR!</v>
      </c>
      <c r="C19" s="16"/>
      <c r="D19" s="16"/>
      <c r="E19" s="16"/>
      <c r="F19" s="16"/>
      <c r="G19" s="2"/>
    </row>
    <row r="20" ht="30.0" customHeight="1">
      <c r="A20" s="28" t="s">
        <v>265</v>
      </c>
      <c r="B20" s="29" t="str">
        <f>INDEX(B4:B13,MATCH("South",C4:C13,0))  → Manager Name for South(C=Region, B=Name: looks LEFT!)</f>
        <v>#ERROR!</v>
      </c>
      <c r="C20" s="16"/>
      <c r="D20" s="16"/>
      <c r="E20" s="16"/>
      <c r="F20" s="16"/>
      <c r="G20" s="2"/>
    </row>
    <row r="21" ht="30.0" customHeight="1">
      <c r="A21" s="28" t="s">
        <v>266</v>
      </c>
      <c r="B21" s="29" t="s">
        <v>267</v>
      </c>
      <c r="C21" s="16"/>
      <c r="D21" s="16"/>
      <c r="E21" s="16"/>
      <c r="F21" s="16"/>
      <c r="G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A2:G2"/>
    <mergeCell ref="A16:G16"/>
    <mergeCell ref="B17:G17"/>
    <mergeCell ref="B18:G18"/>
    <mergeCell ref="B19:G19"/>
    <mergeCell ref="B20:G20"/>
    <mergeCell ref="B21:G2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12.0"/>
    <col customWidth="1" min="4" max="4" width="14.0"/>
    <col customWidth="1" min="5" max="6" width="18.0"/>
    <col customWidth="1" min="7" max="7" width="12.0"/>
    <col customWidth="1" min="8" max="8" width="10.0"/>
    <col customWidth="1" min="9" max="22" width="20.0"/>
    <col customWidth="1" min="23" max="26" width="8.71"/>
  </cols>
  <sheetData>
    <row r="1" ht="33.75" customHeight="1">
      <c r="A1" s="54" t="s">
        <v>268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2"/>
    </row>
    <row r="2" ht="19.5" customHeight="1">
      <c r="A2" s="3" t="s">
        <v>269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2"/>
    </row>
    <row r="3" ht="24.0" customHeight="1">
      <c r="A3" s="39" t="s">
        <v>38</v>
      </c>
      <c r="B3" s="39" t="s">
        <v>39</v>
      </c>
      <c r="C3" s="39" t="s">
        <v>40</v>
      </c>
      <c r="D3" s="39" t="s">
        <v>176</v>
      </c>
      <c r="E3" s="39" t="s">
        <v>270</v>
      </c>
      <c r="F3" s="39" t="s">
        <v>271</v>
      </c>
      <c r="G3" s="39" t="s">
        <v>43</v>
      </c>
      <c r="H3" s="39" t="s">
        <v>45</v>
      </c>
      <c r="I3" s="17" t="s">
        <v>44</v>
      </c>
      <c r="J3" s="17" t="s">
        <v>272</v>
      </c>
      <c r="K3" s="17" t="s">
        <v>273</v>
      </c>
      <c r="L3" s="17" t="s">
        <v>274</v>
      </c>
      <c r="M3" s="17" t="s">
        <v>275</v>
      </c>
      <c r="N3" s="17" t="s">
        <v>276</v>
      </c>
      <c r="O3" s="17" t="s">
        <v>277</v>
      </c>
      <c r="P3" s="17" t="s">
        <v>278</v>
      </c>
      <c r="Q3" s="17" t="s">
        <v>279</v>
      </c>
      <c r="R3" s="17" t="s">
        <v>280</v>
      </c>
      <c r="S3" s="17" t="s">
        <v>281</v>
      </c>
      <c r="T3" s="17" t="s">
        <v>282</v>
      </c>
      <c r="U3" s="17" t="s">
        <v>283</v>
      </c>
      <c r="V3" s="17" t="s">
        <v>284</v>
      </c>
    </row>
    <row r="4" ht="18.0" customHeight="1">
      <c r="A4" s="18" t="s">
        <v>55</v>
      </c>
      <c r="B4" s="15" t="s">
        <v>56</v>
      </c>
      <c r="C4" s="15" t="s">
        <v>57</v>
      </c>
      <c r="D4" s="46">
        <v>43101.0</v>
      </c>
      <c r="E4" s="46">
        <v>46234.0</v>
      </c>
      <c r="F4" s="46">
        <v>46066.0</v>
      </c>
      <c r="G4" s="45">
        <v>54048.0</v>
      </c>
      <c r="H4" s="15" t="s">
        <v>58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ht="18.0" customHeight="1">
      <c r="A5" s="23" t="s">
        <v>60</v>
      </c>
      <c r="B5" s="11" t="s">
        <v>61</v>
      </c>
      <c r="C5" s="11" t="s">
        <v>62</v>
      </c>
      <c r="D5" s="49">
        <v>43561.0</v>
      </c>
      <c r="E5" s="49">
        <v>46253.0</v>
      </c>
      <c r="F5" s="49">
        <v>46055.0</v>
      </c>
      <c r="G5" s="48">
        <v>29395.0</v>
      </c>
      <c r="H5" s="11" t="s">
        <v>63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ht="18.0" customHeight="1">
      <c r="A6" s="18" t="s">
        <v>64</v>
      </c>
      <c r="B6" s="15" t="s">
        <v>65</v>
      </c>
      <c r="C6" s="15" t="s">
        <v>66</v>
      </c>
      <c r="D6" s="46">
        <v>44023.0</v>
      </c>
      <c r="E6" s="46">
        <v>46220.0</v>
      </c>
      <c r="F6" s="46">
        <v>46072.0</v>
      </c>
      <c r="G6" s="45">
        <v>84237.0</v>
      </c>
      <c r="H6" s="15" t="s">
        <v>67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ht="18.0" customHeight="1">
      <c r="A7" s="23" t="s">
        <v>68</v>
      </c>
      <c r="B7" s="11" t="s">
        <v>69</v>
      </c>
      <c r="C7" s="11" t="s">
        <v>70</v>
      </c>
      <c r="D7" s="49">
        <v>44485.0</v>
      </c>
      <c r="E7" s="49">
        <v>46231.0</v>
      </c>
      <c r="F7" s="49">
        <v>46134.0</v>
      </c>
      <c r="G7" s="48">
        <v>72987.0</v>
      </c>
      <c r="H7" s="11" t="s">
        <v>71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ht="18.0" customHeight="1">
      <c r="A8" s="18" t="s">
        <v>72</v>
      </c>
      <c r="B8" s="15" t="s">
        <v>73</v>
      </c>
      <c r="C8" s="15" t="s">
        <v>74</v>
      </c>
      <c r="D8" s="46">
        <v>44582.0</v>
      </c>
      <c r="E8" s="46">
        <v>46219.0</v>
      </c>
      <c r="F8" s="46">
        <v>46129.0</v>
      </c>
      <c r="G8" s="45">
        <v>38926.0</v>
      </c>
      <c r="H8" s="15" t="s">
        <v>58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ht="18.0" customHeight="1">
      <c r="A9" s="23" t="s">
        <v>75</v>
      </c>
      <c r="B9" s="11" t="s">
        <v>76</v>
      </c>
      <c r="C9" s="11" t="s">
        <v>57</v>
      </c>
      <c r="D9" s="49">
        <v>45042.0</v>
      </c>
      <c r="E9" s="49">
        <v>46199.0</v>
      </c>
      <c r="F9" s="49">
        <v>45738.0</v>
      </c>
      <c r="G9" s="48">
        <v>62118.0</v>
      </c>
      <c r="H9" s="11" t="s">
        <v>63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ht="18.0" customHeight="1">
      <c r="A10" s="18" t="s">
        <v>77</v>
      </c>
      <c r="B10" s="15" t="s">
        <v>78</v>
      </c>
      <c r="C10" s="15" t="s">
        <v>62</v>
      </c>
      <c r="D10" s="46">
        <v>45476.0</v>
      </c>
      <c r="E10" s="46">
        <v>46244.0</v>
      </c>
      <c r="F10" s="46">
        <v>46068.0</v>
      </c>
      <c r="G10" s="45">
        <v>52671.0</v>
      </c>
      <c r="H10" s="15" t="s">
        <v>67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ht="18.0" customHeight="1">
      <c r="A11" s="23" t="s">
        <v>79</v>
      </c>
      <c r="B11" s="11" t="s">
        <v>80</v>
      </c>
      <c r="C11" s="11" t="s">
        <v>66</v>
      </c>
      <c r="D11" s="49">
        <v>43381.0</v>
      </c>
      <c r="E11" s="49">
        <v>46291.0</v>
      </c>
      <c r="F11" s="49">
        <v>45814.0</v>
      </c>
      <c r="G11" s="48">
        <v>67615.0</v>
      </c>
      <c r="H11" s="11" t="s">
        <v>71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ht="18.0" customHeight="1">
      <c r="A12" s="18" t="s">
        <v>82</v>
      </c>
      <c r="B12" s="15" t="s">
        <v>83</v>
      </c>
      <c r="C12" s="15" t="s">
        <v>70</v>
      </c>
      <c r="D12" s="46">
        <v>43478.0</v>
      </c>
      <c r="E12" s="46">
        <v>46312.0</v>
      </c>
      <c r="F12" s="46">
        <v>45884.0</v>
      </c>
      <c r="G12" s="45">
        <v>65400.0</v>
      </c>
      <c r="H12" s="15" t="s">
        <v>58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ht="18.0" customHeight="1">
      <c r="A13" s="23" t="s">
        <v>84</v>
      </c>
      <c r="B13" s="11" t="s">
        <v>85</v>
      </c>
      <c r="C13" s="11" t="s">
        <v>74</v>
      </c>
      <c r="D13" s="49">
        <v>43939.0</v>
      </c>
      <c r="E13" s="49">
        <v>46230.0</v>
      </c>
      <c r="F13" s="49">
        <v>45709.0</v>
      </c>
      <c r="G13" s="48">
        <v>55930.0</v>
      </c>
      <c r="H13" s="11" t="s">
        <v>63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ht="18.0" customHeight="1">
      <c r="A14" s="18" t="s">
        <v>86</v>
      </c>
      <c r="B14" s="15" t="s">
        <v>87</v>
      </c>
      <c r="C14" s="15" t="s">
        <v>57</v>
      </c>
      <c r="D14" s="46">
        <v>44400.0</v>
      </c>
      <c r="E14" s="46">
        <v>46207.0</v>
      </c>
      <c r="F14" s="46">
        <v>45946.0</v>
      </c>
      <c r="G14" s="45">
        <v>65819.0</v>
      </c>
      <c r="H14" s="15" t="s">
        <v>67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ht="18.0" customHeight="1">
      <c r="A15" s="23" t="s">
        <v>88</v>
      </c>
      <c r="B15" s="11" t="s">
        <v>89</v>
      </c>
      <c r="C15" s="11" t="s">
        <v>62</v>
      </c>
      <c r="D15" s="49">
        <v>44862.0</v>
      </c>
      <c r="E15" s="49">
        <v>46312.0</v>
      </c>
      <c r="F15" s="49">
        <v>45866.0</v>
      </c>
      <c r="G15" s="48">
        <v>27358.0</v>
      </c>
      <c r="H15" s="11" t="s">
        <v>71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ht="18.0" customHeight="1">
      <c r="A16" s="18" t="s">
        <v>90</v>
      </c>
      <c r="B16" s="15" t="s">
        <v>91</v>
      </c>
      <c r="C16" s="15" t="s">
        <v>66</v>
      </c>
      <c r="D16" s="46">
        <v>44931.0</v>
      </c>
      <c r="E16" s="46">
        <v>46298.0</v>
      </c>
      <c r="F16" s="46">
        <v>45810.0</v>
      </c>
      <c r="G16" s="45">
        <v>78589.0</v>
      </c>
      <c r="H16" s="15" t="s">
        <v>58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ht="18.0" customHeight="1">
      <c r="A17" s="23" t="s">
        <v>92</v>
      </c>
      <c r="B17" s="11" t="s">
        <v>93</v>
      </c>
      <c r="C17" s="11" t="s">
        <v>70</v>
      </c>
      <c r="D17" s="49">
        <v>45392.0</v>
      </c>
      <c r="E17" s="49">
        <v>46170.0</v>
      </c>
      <c r="F17" s="49">
        <v>45895.0</v>
      </c>
      <c r="G17" s="48">
        <v>60504.0</v>
      </c>
      <c r="H17" s="11" t="s">
        <v>63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ht="18.0" customHeight="1">
      <c r="A18" s="18" t="s">
        <v>94</v>
      </c>
      <c r="B18" s="15" t="s">
        <v>95</v>
      </c>
      <c r="C18" s="15" t="s">
        <v>74</v>
      </c>
      <c r="D18" s="46">
        <v>43296.0</v>
      </c>
      <c r="E18" s="46">
        <v>46241.0</v>
      </c>
      <c r="F18" s="46">
        <v>46131.0</v>
      </c>
      <c r="G18" s="45">
        <v>53093.0</v>
      </c>
      <c r="H18" s="15" t="s">
        <v>67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ht="18.0" customHeight="1">
      <c r="A19" s="23" t="s">
        <v>96</v>
      </c>
      <c r="B19" s="11" t="s">
        <v>97</v>
      </c>
      <c r="C19" s="11" t="s">
        <v>57</v>
      </c>
      <c r="D19" s="49">
        <v>43758.0</v>
      </c>
      <c r="E19" s="49">
        <v>46177.0</v>
      </c>
      <c r="F19" s="49">
        <v>46119.0</v>
      </c>
      <c r="G19" s="48">
        <v>83435.0</v>
      </c>
      <c r="H19" s="11" t="s">
        <v>71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ht="18.0" customHeight="1">
      <c r="A20" s="18" t="s">
        <v>98</v>
      </c>
      <c r="B20" s="15" t="s">
        <v>99</v>
      </c>
      <c r="C20" s="15" t="s">
        <v>62</v>
      </c>
      <c r="D20" s="46">
        <v>43855.0</v>
      </c>
      <c r="E20" s="46">
        <v>46297.0</v>
      </c>
      <c r="F20" s="46">
        <v>45741.0</v>
      </c>
      <c r="G20" s="45">
        <v>52438.0</v>
      </c>
      <c r="H20" s="15" t="s">
        <v>58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ht="18.0" customHeight="1">
      <c r="A21" s="23" t="s">
        <v>100</v>
      </c>
      <c r="B21" s="11" t="s">
        <v>101</v>
      </c>
      <c r="C21" s="11" t="s">
        <v>66</v>
      </c>
      <c r="D21" s="49">
        <v>44288.0</v>
      </c>
      <c r="E21" s="49">
        <v>46214.0</v>
      </c>
      <c r="F21" s="49">
        <v>45760.0</v>
      </c>
      <c r="G21" s="48">
        <v>36131.0</v>
      </c>
      <c r="H21" s="11" t="s">
        <v>63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ht="18.0" customHeight="1">
      <c r="A22" s="18" t="s">
        <v>102</v>
      </c>
      <c r="B22" s="15" t="s">
        <v>103</v>
      </c>
      <c r="C22" s="15" t="s">
        <v>70</v>
      </c>
      <c r="D22" s="46">
        <v>44749.0</v>
      </c>
      <c r="E22" s="46">
        <v>46218.0</v>
      </c>
      <c r="F22" s="46">
        <v>45808.0</v>
      </c>
      <c r="G22" s="45">
        <v>38969.0</v>
      </c>
      <c r="H22" s="15" t="s">
        <v>67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ht="18.0" customHeight="1">
      <c r="A23" s="23" t="s">
        <v>104</v>
      </c>
      <c r="B23" s="11" t="s">
        <v>105</v>
      </c>
      <c r="C23" s="11" t="s">
        <v>74</v>
      </c>
      <c r="D23" s="49">
        <v>45211.0</v>
      </c>
      <c r="E23" s="49">
        <v>46299.0</v>
      </c>
      <c r="F23" s="49">
        <v>45792.0</v>
      </c>
      <c r="G23" s="48">
        <v>79348.0</v>
      </c>
      <c r="H23" s="11" t="s">
        <v>71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ht="18.0" customHeight="1">
      <c r="A24" s="18" t="s">
        <v>106</v>
      </c>
      <c r="B24" s="15" t="s">
        <v>107</v>
      </c>
      <c r="C24" s="15" t="s">
        <v>57</v>
      </c>
      <c r="D24" s="46">
        <v>45308.0</v>
      </c>
      <c r="E24" s="46">
        <v>46269.0</v>
      </c>
      <c r="F24" s="46">
        <v>46062.0</v>
      </c>
      <c r="G24" s="45">
        <v>52973.0</v>
      </c>
      <c r="H24" s="15" t="s">
        <v>58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ht="18.0" customHeight="1">
      <c r="A25" s="23" t="s">
        <v>108</v>
      </c>
      <c r="B25" s="11" t="s">
        <v>109</v>
      </c>
      <c r="C25" s="11" t="s">
        <v>62</v>
      </c>
      <c r="D25" s="49">
        <v>43212.0</v>
      </c>
      <c r="E25" s="49">
        <v>46216.0</v>
      </c>
      <c r="F25" s="49">
        <v>45790.0</v>
      </c>
      <c r="G25" s="48">
        <v>77470.0</v>
      </c>
      <c r="H25" s="11" t="s">
        <v>63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ht="18.0" customHeight="1">
      <c r="A26" s="18" t="s">
        <v>110</v>
      </c>
      <c r="B26" s="15" t="s">
        <v>111</v>
      </c>
      <c r="C26" s="15" t="s">
        <v>66</v>
      </c>
      <c r="D26" s="46">
        <v>43673.0</v>
      </c>
      <c r="E26" s="46">
        <v>46254.0</v>
      </c>
      <c r="F26" s="46">
        <v>46002.0</v>
      </c>
      <c r="G26" s="45">
        <v>84542.0</v>
      </c>
      <c r="H26" s="15" t="s">
        <v>67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ht="18.0" customHeight="1">
      <c r="A27" s="23" t="s">
        <v>112</v>
      </c>
      <c r="B27" s="11" t="s">
        <v>113</v>
      </c>
      <c r="C27" s="11" t="s">
        <v>70</v>
      </c>
      <c r="D27" s="49">
        <v>44108.0</v>
      </c>
      <c r="E27" s="49">
        <v>46252.0</v>
      </c>
      <c r="F27" s="49">
        <v>45735.0</v>
      </c>
      <c r="G27" s="48">
        <v>38032.0</v>
      </c>
      <c r="H27" s="11" t="s">
        <v>71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ht="18.0" customHeight="1">
      <c r="A28" s="18" t="s">
        <v>114</v>
      </c>
      <c r="B28" s="15" t="s">
        <v>115</v>
      </c>
      <c r="C28" s="15" t="s">
        <v>74</v>
      </c>
      <c r="D28" s="46">
        <v>44205.0</v>
      </c>
      <c r="E28" s="46">
        <v>46200.0</v>
      </c>
      <c r="F28" s="46">
        <v>46126.0</v>
      </c>
      <c r="G28" s="45">
        <v>82042.0</v>
      </c>
      <c r="H28" s="15" t="s">
        <v>58</v>
      </c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ht="18.0" customHeight="1">
      <c r="A29" s="23" t="s">
        <v>116</v>
      </c>
      <c r="B29" s="11" t="s">
        <v>117</v>
      </c>
      <c r="C29" s="11" t="s">
        <v>57</v>
      </c>
      <c r="D29" s="49">
        <v>44665.0</v>
      </c>
      <c r="E29" s="49">
        <v>46192.0</v>
      </c>
      <c r="F29" s="49">
        <v>46122.0</v>
      </c>
      <c r="G29" s="48">
        <v>28322.0</v>
      </c>
      <c r="H29" s="11" t="s">
        <v>63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ht="18.0" customHeight="1">
      <c r="A30" s="18" t="s">
        <v>118</v>
      </c>
      <c r="B30" s="15" t="s">
        <v>119</v>
      </c>
      <c r="C30" s="15" t="s">
        <v>62</v>
      </c>
      <c r="D30" s="46">
        <v>45126.0</v>
      </c>
      <c r="E30" s="46">
        <v>46311.0</v>
      </c>
      <c r="F30" s="46">
        <v>45875.0</v>
      </c>
      <c r="G30" s="45">
        <v>34483.0</v>
      </c>
      <c r="H30" s="15" t="s">
        <v>67</v>
      </c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ht="18.0" customHeight="1">
      <c r="A31" s="23" t="s">
        <v>120</v>
      </c>
      <c r="B31" s="11" t="s">
        <v>121</v>
      </c>
      <c r="C31" s="11" t="s">
        <v>66</v>
      </c>
      <c r="D31" s="49">
        <v>45589.0</v>
      </c>
      <c r="E31" s="49">
        <v>46236.0</v>
      </c>
      <c r="F31" s="49">
        <v>45934.0</v>
      </c>
      <c r="G31" s="48">
        <v>73461.0</v>
      </c>
      <c r="H31" s="11" t="s">
        <v>71</v>
      </c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ht="18.0" customHeight="1">
      <c r="A32" s="18" t="s">
        <v>122</v>
      </c>
      <c r="B32" s="15" t="s">
        <v>123</v>
      </c>
      <c r="C32" s="15" t="s">
        <v>70</v>
      </c>
      <c r="D32" s="46">
        <v>43101.0</v>
      </c>
      <c r="E32" s="46">
        <v>46306.0</v>
      </c>
      <c r="F32" s="46">
        <v>45747.0</v>
      </c>
      <c r="G32" s="45">
        <v>58857.0</v>
      </c>
      <c r="H32" s="15" t="s">
        <v>58</v>
      </c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ht="18.0" customHeight="1">
      <c r="A33" s="23" t="s">
        <v>124</v>
      </c>
      <c r="B33" s="11" t="s">
        <v>125</v>
      </c>
      <c r="C33" s="11" t="s">
        <v>74</v>
      </c>
      <c r="D33" s="49">
        <v>43561.0</v>
      </c>
      <c r="E33" s="49">
        <v>46290.0</v>
      </c>
      <c r="F33" s="49">
        <v>46130.0</v>
      </c>
      <c r="G33" s="48">
        <v>77177.0</v>
      </c>
      <c r="H33" s="11" t="s">
        <v>63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ht="15.75" customHeight="1"/>
    <row r="35" ht="15.75" customHeight="1"/>
    <row r="36" ht="25.5" customHeight="1">
      <c r="A36" s="27" t="s">
        <v>285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2"/>
    </row>
    <row r="37" ht="30.0" customHeight="1">
      <c r="A37" s="28" t="s">
        <v>286</v>
      </c>
      <c r="B37" s="29" t="s">
        <v>287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2"/>
    </row>
    <row r="38" ht="30.0" customHeight="1">
      <c r="A38" s="28" t="s">
        <v>288</v>
      </c>
      <c r="B38" s="29" t="s">
        <v>289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2"/>
    </row>
    <row r="39" ht="30.0" customHeight="1">
      <c r="A39" s="28" t="s">
        <v>290</v>
      </c>
      <c r="B39" s="29" t="str">
        <f>YEAR(D4)  |  =MONTH(D4)  |  =DAY(D4)  — drag all three to row 33.</f>
        <v>#ERROR!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2"/>
    </row>
    <row r="40" ht="30.0" customHeight="1">
      <c r="A40" s="28" t="s">
        <v>291</v>
      </c>
      <c r="B40" s="29" t="str">
        <f>IF(YEAR(D4)=YEAR(TODAY()),"New This Year","")  — drag to L33.</f>
        <v>#ERROR!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2"/>
    </row>
    <row r="41" ht="30.0" customHeight="1">
      <c r="A41" s="28" t="s">
        <v>292</v>
      </c>
      <c r="B41" s="29" t="str">
        <f>TODAY()-F4  — format as Number. Drag to M33.</f>
        <v>#ERROR!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2"/>
    </row>
    <row r="42" ht="30.0" customHeight="1">
      <c r="A42" s="28" t="s">
        <v>293</v>
      </c>
      <c r="B42" s="29" t="str">
        <f>DATEDIF(D4,TODAY(),"Y")  — drag to N33.</f>
        <v>#ERROR!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2"/>
    </row>
    <row r="43" ht="30.0" customHeight="1">
      <c r="A43" s="28" t="s">
        <v>294</v>
      </c>
      <c r="B43" s="29" t="str">
        <f>DATEDIF(D4,TODAY(),"Y")&amp;" yrs "&amp;DATEDIF(D4,TODAY(),"YM")&amp;" mths"  — drag to O33.</f>
        <v>#ERROR!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2"/>
    </row>
    <row r="44" ht="30.0" customHeight="1">
      <c r="A44" s="28" t="s">
        <v>295</v>
      </c>
      <c r="B44" s="29" t="str">
        <f>IF(DATEDIF(D4,TODAY(),"Y")&gt;=5,"Senior","Junior")  — drag to P33.</f>
        <v>#ERROR!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2"/>
    </row>
    <row r="45" ht="30.0" customHeight="1">
      <c r="A45" s="28" t="s">
        <v>296</v>
      </c>
      <c r="B45" s="29" t="str">
        <f>IF(E4&gt;=TODAY(),DATEDIF(TODAY(),E4,"D"),"OVERDUE")  — drag to Q33.</f>
        <v>#ERROR!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2"/>
    </row>
    <row r="46" ht="30.0" customHeight="1">
      <c r="A46" s="28" t="s">
        <v>297</v>
      </c>
      <c r="B46" s="29" t="str">
        <f>IF(E4&lt;TODAY(),"OVERDUE","Upcoming")  — drag to R33.</f>
        <v>#ERROR!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2"/>
    </row>
    <row r="47" ht="30.0" customHeight="1">
      <c r="A47" s="28" t="s">
        <v>298</v>
      </c>
      <c r="B47" s="29" t="str">
        <f>NETWORKDAYS(D4,E4)  — drag to S33.</f>
        <v>#ERROR!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2"/>
    </row>
    <row r="48" ht="30.0" customHeight="1">
      <c r="A48" s="28" t="s">
        <v>299</v>
      </c>
      <c r="B48" s="29" t="str">
        <f>WORKDAY(E4,-30)  — format as date. 30 working days before deadline.</f>
        <v>#ERROR!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2"/>
    </row>
    <row r="49" ht="30.0" customHeight="1">
      <c r="A49" s="28" t="s">
        <v>300</v>
      </c>
      <c r="B49" s="29" t="str">
        <f>CHOOSE(WEEKDAY(D4,2),"Mon","Tue","Wed","Thu","Fri","Sat","Sun")  — drag to U33.</f>
        <v>#ERROR!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2"/>
    </row>
    <row r="50" ht="30.0" customHeight="1">
      <c r="A50" s="28" t="s">
        <v>301</v>
      </c>
      <c r="B50" s="29" t="str">
        <f>TEXT(D4,"DDDD, DD MMMM YYYY")  — drag to V33.</f>
        <v>#ERROR!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2"/>
    </row>
    <row r="51" ht="15.75" customHeight="1"/>
    <row r="52" ht="15.75" customHeight="1"/>
    <row r="53" ht="25.5" customHeight="1">
      <c r="A53" s="55" t="s">
        <v>302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2"/>
    </row>
    <row r="54" ht="15.75" customHeight="1">
      <c r="A54" s="53" t="s">
        <v>303</v>
      </c>
      <c r="B54" s="38" t="s">
        <v>215</v>
      </c>
      <c r="C54" s="38" t="s">
        <v>216</v>
      </c>
      <c r="D54" s="38" t="s">
        <v>217</v>
      </c>
      <c r="E54" s="38" t="s">
        <v>218</v>
      </c>
      <c r="F54" s="38" t="s">
        <v>219</v>
      </c>
      <c r="G54" s="38" t="s">
        <v>220</v>
      </c>
      <c r="H54" s="38" t="s">
        <v>221</v>
      </c>
      <c r="I54" s="38" t="s">
        <v>222</v>
      </c>
      <c r="J54" s="38" t="s">
        <v>223</v>
      </c>
      <c r="K54" s="38" t="s">
        <v>224</v>
      </c>
      <c r="L54" s="38" t="s">
        <v>225</v>
      </c>
      <c r="M54" s="38" t="s">
        <v>226</v>
      </c>
    </row>
    <row r="55" ht="19.5" customHeight="1">
      <c r="A55" s="8" t="s">
        <v>58</v>
      </c>
      <c r="B55" s="48">
        <v>103682.0</v>
      </c>
      <c r="C55" s="48">
        <v>131444.0</v>
      </c>
      <c r="D55" s="48">
        <v>119314.0</v>
      </c>
      <c r="E55" s="48">
        <v>159347.0</v>
      </c>
      <c r="F55" s="48">
        <v>100883.0</v>
      </c>
      <c r="G55" s="48">
        <v>128174.0</v>
      </c>
      <c r="H55" s="48">
        <v>159151.0</v>
      </c>
      <c r="I55" s="48">
        <v>103202.0</v>
      </c>
      <c r="J55" s="48">
        <v>172176.0</v>
      </c>
      <c r="K55" s="48">
        <v>203722.0</v>
      </c>
      <c r="L55" s="48">
        <v>221710.0</v>
      </c>
      <c r="M55" s="48">
        <v>181014.0</v>
      </c>
    </row>
    <row r="56" ht="19.5" customHeight="1">
      <c r="A56" s="8" t="s">
        <v>63</v>
      </c>
      <c r="B56" s="45">
        <v>181685.0</v>
      </c>
      <c r="C56" s="45">
        <v>211990.0</v>
      </c>
      <c r="D56" s="45">
        <v>186362.0</v>
      </c>
      <c r="E56" s="45">
        <v>163423.0</v>
      </c>
      <c r="F56" s="45">
        <v>192431.0</v>
      </c>
      <c r="G56" s="45">
        <v>220036.0</v>
      </c>
      <c r="H56" s="45">
        <v>245399.0</v>
      </c>
      <c r="I56" s="45">
        <v>90634.0</v>
      </c>
      <c r="J56" s="45">
        <v>245810.0</v>
      </c>
      <c r="K56" s="45">
        <v>147435.0</v>
      </c>
      <c r="L56" s="45">
        <v>90754.0</v>
      </c>
      <c r="M56" s="45">
        <v>140453.0</v>
      </c>
    </row>
    <row r="57" ht="19.5" customHeight="1">
      <c r="A57" s="8" t="s">
        <v>67</v>
      </c>
      <c r="B57" s="48">
        <v>214469.0</v>
      </c>
      <c r="C57" s="48">
        <v>83813.0</v>
      </c>
      <c r="D57" s="48">
        <v>229513.0</v>
      </c>
      <c r="E57" s="48">
        <v>201771.0</v>
      </c>
      <c r="F57" s="48">
        <v>138651.0</v>
      </c>
      <c r="G57" s="48">
        <v>93758.0</v>
      </c>
      <c r="H57" s="48">
        <v>179260.0</v>
      </c>
      <c r="I57" s="48">
        <v>140746.0</v>
      </c>
      <c r="J57" s="48">
        <v>103221.0</v>
      </c>
      <c r="K57" s="48">
        <v>211588.0</v>
      </c>
      <c r="L57" s="48">
        <v>248897.0</v>
      </c>
      <c r="M57" s="48">
        <v>192254.0</v>
      </c>
    </row>
    <row r="58" ht="19.5" customHeight="1">
      <c r="A58" s="8" t="s">
        <v>71</v>
      </c>
      <c r="B58" s="45">
        <v>131141.0</v>
      </c>
      <c r="C58" s="45">
        <v>139412.0</v>
      </c>
      <c r="D58" s="45">
        <v>133807.0</v>
      </c>
      <c r="E58" s="45">
        <v>187583.0</v>
      </c>
      <c r="F58" s="45">
        <v>124588.0</v>
      </c>
      <c r="G58" s="45">
        <v>160127.0</v>
      </c>
      <c r="H58" s="45">
        <v>166584.0</v>
      </c>
      <c r="I58" s="45">
        <v>82179.0</v>
      </c>
      <c r="J58" s="45">
        <v>108083.0</v>
      </c>
      <c r="K58" s="45">
        <v>187521.0</v>
      </c>
      <c r="L58" s="45">
        <v>161402.0</v>
      </c>
      <c r="M58" s="45">
        <v>165138.0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R1"/>
    <mergeCell ref="A2:R2"/>
    <mergeCell ref="A36:V36"/>
    <mergeCell ref="B37:V37"/>
    <mergeCell ref="B38:V38"/>
    <mergeCell ref="B39:V39"/>
    <mergeCell ref="B40:V40"/>
    <mergeCell ref="B48:V48"/>
    <mergeCell ref="B49:V49"/>
    <mergeCell ref="B50:V50"/>
    <mergeCell ref="A53:V53"/>
    <mergeCell ref="B41:V41"/>
    <mergeCell ref="B42:V42"/>
    <mergeCell ref="B43:V43"/>
    <mergeCell ref="B44:V44"/>
    <mergeCell ref="B45:V45"/>
    <mergeCell ref="B46:V46"/>
    <mergeCell ref="B47:V47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22.0"/>
    <col customWidth="1" min="3" max="3" width="55.0"/>
    <col customWidth="1" min="4" max="26" width="8.71"/>
  </cols>
  <sheetData>
    <row r="1" ht="33.75" customHeight="1">
      <c r="A1" s="1" t="s">
        <v>304</v>
      </c>
      <c r="B1" s="16"/>
      <c r="C1" s="2"/>
    </row>
    <row r="2" ht="19.5" customHeight="1">
      <c r="A2" s="3" t="s">
        <v>305</v>
      </c>
      <c r="B2" s="16"/>
      <c r="C2" s="2"/>
    </row>
    <row r="3" ht="21.75" customHeight="1">
      <c r="A3" s="14" t="s">
        <v>145</v>
      </c>
      <c r="B3" s="14" t="s">
        <v>306</v>
      </c>
      <c r="C3" s="14" t="s">
        <v>307</v>
      </c>
    </row>
    <row r="4" ht="25.5" customHeight="1">
      <c r="A4" s="4" t="s">
        <v>308</v>
      </c>
      <c r="B4" s="36"/>
      <c r="C4" s="56">
        <f>COUNTIFS(Part_I_Data!I4:I33,"Active",Part_I_Data!D4:D33,"&gt;=75",Part_I_Data!E4:E33,"&gt;=0.8")</f>
        <v>4</v>
      </c>
    </row>
    <row r="5" ht="25.5" customHeight="1">
      <c r="A5" s="4" t="s">
        <v>309</v>
      </c>
      <c r="B5" s="36"/>
      <c r="C5" s="56">
        <f>SUMIFS(Part_I_Data!F4:F33,Part_I_Data!C4:C33,"Sales",Part_I_Data!H4:H33,"North",Part_I_Data!I4:I33,"Active")</f>
        <v>52438</v>
      </c>
    </row>
    <row r="6" ht="25.5" customHeight="1">
      <c r="A6" s="4" t="s">
        <v>310</v>
      </c>
      <c r="B6" s="36"/>
      <c r="C6" s="56">
        <f>AVERAGEIFS(Part_I_Data!D4:D33,Part_I_Data!C4:C33,"IT",Part_I_Data!I4:I33,"Active",Part_I_Data!E4:E33,"&gt;=0.85")</f>
        <v>74</v>
      </c>
    </row>
    <row r="7" ht="25.5" customHeight="1">
      <c r="A7" s="4" t="s">
        <v>311</v>
      </c>
      <c r="B7" s="36"/>
      <c r="C7" s="56" t="str">
        <f t="array" ref="C7">xlookup(B8,Part_II_Data!A4:A33,Part_II_Data!E4:E33,"Not Found")</f>
        <v>Not Found</v>
      </c>
    </row>
    <row r="8" ht="25.5" customHeight="1">
      <c r="A8" s="4" t="s">
        <v>312</v>
      </c>
      <c r="B8" s="36"/>
      <c r="C8" s="56" t="str">
        <f t="array" ref="C8">INDEX(Part_II_Data!C4:C33,MATCH(B8,Part_II_Data!A4:A33,0))</f>
        <v>#N/A</v>
      </c>
    </row>
    <row r="9" ht="25.5" customHeight="1">
      <c r="A9" s="4" t="s">
        <v>313</v>
      </c>
      <c r="B9" s="36"/>
      <c r="C9" s="56">
        <f>COUNTIF(Part_III_Data!N4:N33,"&gt;=5")</f>
        <v>0</v>
      </c>
    </row>
    <row r="10" ht="25.5" customHeight="1">
      <c r="A10" s="4" t="s">
        <v>314</v>
      </c>
      <c r="B10" s="36"/>
      <c r="C10" s="56">
        <f>MIN(NETWORKDAYS(TODAY(),Part_III_Data!E4:E33))</f>
        <v>16</v>
      </c>
    </row>
    <row r="11" ht="25.5" customHeight="1">
      <c r="A11" s="4" t="s">
        <v>315</v>
      </c>
      <c r="B11" s="36"/>
      <c r="C11" s="56" t="str">
        <f>"Today is: "&amp;TEXT(TODAY(),"DDDD, DD MMMM YYYY")</f>
        <v>Today is: Monday, 20 July 2026</v>
      </c>
    </row>
    <row r="12" ht="25.5" customHeight="1">
      <c r="A12" s="4" t="s">
        <v>316</v>
      </c>
      <c r="B12" s="36"/>
      <c r="C12" s="56">
        <f>SUMPRODUCT((YEAR(Part_III_Data!D4:D33)&gt;2020)*Part_III_Data!G4:G33)</f>
        <v>884701</v>
      </c>
    </row>
    <row r="13" ht="25.5" customHeight="1">
      <c r="A13" s="4" t="s">
        <v>317</v>
      </c>
      <c r="B13" s="36"/>
      <c r="C13" s="56" t="str">
        <f t="array" ref="C13">INDEX(Part_I_Data!B4:B33,MATCH(MAX(Part_I_Data!F4:F33),Part_I_Data!F4:F33,0))</f>
        <v>Divya Menon</v>
      </c>
    </row>
    <row r="14" ht="25.5" customHeight="1">
      <c r="A14" s="9" t="s">
        <v>318</v>
      </c>
      <c r="B14" s="57"/>
      <c r="C14" s="32"/>
    </row>
    <row r="15" ht="25.5" customHeight="1">
      <c r="A15" s="9" t="s">
        <v>319</v>
      </c>
      <c r="B15" s="57" t="s">
        <v>79</v>
      </c>
      <c r="C15" s="32" t="s">
        <v>320</v>
      </c>
    </row>
    <row r="17" ht="27.75" customHeight="1">
      <c r="A17" s="51" t="s">
        <v>321</v>
      </c>
      <c r="B17" s="16"/>
      <c r="C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17:C17"/>
  </mergeCells>
  <printOptions/>
  <pageMargins bottom="1.0" footer="0.0" header="0.0" left="0.75" right="0.75" top="1.0"/>
  <pageSetup paperSize="9" orientation="portrait"/>
  <drawing r:id="rId1"/>
</worksheet>
</file>