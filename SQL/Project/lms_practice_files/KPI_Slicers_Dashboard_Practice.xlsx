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mployee_Training_Data" sheetId="2" state="visible" r:id="rId4"/>
    <sheet name="Ex1_KPI" sheetId="3" state="visible" r:id="rId5"/>
    <sheet name="Ex2_Slicers" sheetId="4" state="visible" r:id="rId6"/>
    <sheet name="Ex3_Dashboard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<sst xmlns="http://schemas.openxmlformats.org/spreadsheetml/2006/main" count="949" uniqueCount="535">
  <si>
    <t xml:space="preserve">KPI_Slicers_Dashboard_Practice.xlsx  |  Employee Training Data</t>
  </si>
  <si>
    <t xml:space="preserve">Anudip Foundation — Practice file for KPI, Slicers &amp; Dashboard Design (120-min session)</t>
  </si>
  <si>
    <t xml:space="preserve">📁  FILE OVERVIEW</t>
  </si>
  <si>
    <t xml:space="preserve">Data Sheet</t>
  </si>
  <si>
    <t xml:space="preserve">Employee_Training_Data — 120 rows (E001–E120). The source for all exercises.</t>
  </si>
  <si>
    <t xml:space="preserve">Exercise 1</t>
  </si>
  <si>
    <t xml:space="preserve">Ex1_KPI — Build Achievement % formula, Status IF formula, and Conditional Formatting traffic light.</t>
  </si>
  <si>
    <t xml:space="preserve">Exercise 2</t>
  </si>
  <si>
    <t xml:space="preserve">Ex2_Slicers — Create PivotTable, add Slicers, connect via Report Connections.</t>
  </si>
  <si>
    <t xml:space="preserve">Exercise 3</t>
  </si>
  <si>
    <t xml:space="preserve">Ex3_Dashboard — Build a complete Training Dashboard with KPI boxes, charts, and slicers.</t>
  </si>
  <si>
    <t xml:space="preserve">Answer Key</t>
  </si>
  <si>
    <t xml:space="preserve">Answer_Key — Check your formulas and expected values here after completing each exercise.</t>
  </si>
  <si>
    <t xml:space="preserve">Data Details</t>
  </si>
  <si>
    <t xml:space="preserve">5 Departments | 4 Training Types | 6 Months (Jan–Jun) | 120 records total</t>
  </si>
  <si>
    <t xml:space="preserve">Practice Password</t>
  </si>
  <si>
    <t xml:space="preserve">No password needed. All sheets are open. Work in order: Ex1 → Ex2 → Ex3.</t>
  </si>
  <si>
    <t xml:space="preserve">🎨  COLOUR LEGEND</t>
  </si>
  <si>
    <t xml:space="preserve">Blue header row</t>
  </si>
  <si>
    <t xml:space="preserve">Column header — do not edit</t>
  </si>
  <si>
    <t xml:space="preserve">White / grey rows</t>
  </si>
  <si>
    <t xml:space="preserve">Source data — do not edit</t>
  </si>
  <si>
    <t xml:space="preserve">Yellow cell</t>
  </si>
  <si>
    <t xml:space="preserve">Task instruction — read and follow</t>
  </si>
  <si>
    <t xml:space="preserve">Green cell</t>
  </si>
  <si>
    <t xml:space="preserve">Your answer area — type your formula here</t>
  </si>
  <si>
    <t xml:space="preserve">Teal / code cell</t>
  </si>
  <si>
    <t xml:space="preserve">Formula to type exactly as shown</t>
  </si>
  <si>
    <t xml:space="preserve">Green data fill</t>
  </si>
  <si>
    <t xml:space="preserve">KPI: On Track (Achievement ≥ 100%)</t>
  </si>
  <si>
    <t xml:space="preserve">Yellow data fill</t>
  </si>
  <si>
    <t xml:space="preserve">KPI: Watch (Achievement ≥ 80% but &lt; 100%)</t>
  </si>
  <si>
    <t xml:space="preserve">Red data fill</t>
  </si>
  <si>
    <t xml:space="preserve">KPI: Below Target (Achievement &lt; 80%)</t>
  </si>
  <si>
    <t xml:space="preserve">Red note row</t>
  </si>
  <si>
    <t xml:space="preserve">Caution or important warning</t>
  </si>
  <si>
    <t xml:space="preserve">START HERE → Go to Employee_Training_Data sheet first. Review the data structure. Then open Ex1_KPI and follow the instructions step by step.</t>
  </si>
  <si>
    <t xml:space="preserve">Employee Training Data  |  Source Sheet — 120 Records (E001–E120)</t>
  </si>
  <si>
    <t xml:space="preserve">DO NOT edit columns A–F. Columns G (Achievement %) and H (Status) are blank — you build them in Exercise 1.</t>
  </si>
  <si>
    <t xml:space="preserve">SOURCE DATA — 5 Departments × 4 Training Types × 6 Months = 120 rows</t>
  </si>
  <si>
    <t xml:space="preserve">Exercise 1 Task: Add your formulas in column G (Achievement %) and column H (Status). Then apply Conditional Formatting traffic-light colours to column H.</t>
  </si>
  <si>
    <t xml:space="preserve">Employee ID</t>
  </si>
  <si>
    <t xml:space="preserve">Department</t>
  </si>
  <si>
    <t xml:space="preserve">Training Type</t>
  </si>
  <si>
    <t xml:space="preserve">Month</t>
  </si>
  <si>
    <t xml:space="preserve">Target Hours</t>
  </si>
  <si>
    <t xml:space="preserve">Actual Hours</t>
  </si>
  <si>
    <t xml:space="preserve">Achievement %</t>
  </si>
  <si>
    <t xml:space="preserve">Status</t>
  </si>
  <si>
    <t xml:space="preserve">📋  EXERCISE 1 GUIDE — Follow these steps</t>
  </si>
  <si>
    <t xml:space="preserve">Unique ID</t>
  </si>
  <si>
    <t xml:space="preserve">Filter by dept</t>
  </si>
  <si>
    <t xml:space="preserve">Filter by type</t>
  </si>
  <si>
    <t xml:space="preserve">Jan–Jun</t>
  </si>
  <si>
    <t xml:space="preserve">Target (hrs)</t>
  </si>
  <si>
    <t xml:space="preserve">Actual (hrs)</t>
  </si>
  <si>
    <t xml:space="preserve">IF formula ✏</t>
  </si>
  <si>
    <t xml:space="preserve">TASK 1 — Column G:  Click G6. Type header: Achievement %</t>
  </si>
  <si>
    <t xml:space="preserve">E001</t>
  </si>
  <si>
    <t xml:space="preserve">HR</t>
  </si>
  <si>
    <t xml:space="preserve">Onboarding</t>
  </si>
  <si>
    <t xml:space="preserve">Jan</t>
  </si>
  <si>
    <t xml:space="preserve">Step 1:  Click cell G8. Type exactly: =(F8/E8)*100  then press Enter.</t>
  </si>
  <si>
    <t xml:space="preserve">E002</t>
  </si>
  <si>
    <t xml:space="preserve">Skill Development</t>
  </si>
  <si>
    <t xml:space="preserve">Step 2:  Result for E001: Target=20, Actual=22 → (22÷20)×100 = 110.0  ✅</t>
  </si>
  <si>
    <t xml:space="preserve">E003</t>
  </si>
  <si>
    <t xml:space="preserve">Compliance</t>
  </si>
  <si>
    <t xml:space="preserve">Step 3:  Select G8. Double-click the fill handle (bottom-right corner) to fill to G127.</t>
  </si>
  <si>
    <t xml:space="preserve">E004</t>
  </si>
  <si>
    <t xml:space="preserve">Leadership</t>
  </si>
  <si>
    <t xml:space="preserve">Step 4:  Select G8:G127. Home → Number format → Number, 1 decimal place.</t>
  </si>
  <si>
    <t xml:space="preserve">E005</t>
  </si>
  <si>
    <t xml:space="preserve">Finance</t>
  </si>
  <si>
    <t xml:space="preserve">TASK 2 — Column H:  Click H6. Type header: Status</t>
  </si>
  <si>
    <t xml:space="preserve">E006</t>
  </si>
  <si>
    <t xml:space="preserve">Step 5:  Click H8. Type exactly:</t>
  </si>
  <si>
    <t xml:space="preserve">E007</t>
  </si>
  <si>
    <t xml:space="preserve">E008</t>
  </si>
  <si>
    <t xml:space="preserve">Step 6:  Press Enter. E001 (110%) → should show: On Track ✅</t>
  </si>
  <si>
    <t xml:space="preserve">E009</t>
  </si>
  <si>
    <t xml:space="preserve">IT</t>
  </si>
  <si>
    <t xml:space="preserve">Step 7:  Select H8. Double-click fill handle to fill to H127.</t>
  </si>
  <si>
    <t xml:space="preserve">E010</t>
  </si>
  <si>
    <t xml:space="preserve">TASK 3 — Traffic Light:  Select H8:H127. Apply Conditional Formatting:</t>
  </si>
  <si>
    <t xml:space="preserve">E011</t>
  </si>
  <si>
    <t xml:space="preserve">Step 8:  Home → Conditional Formatting → Highlight Cells → Text that Contains</t>
  </si>
  <si>
    <t xml:space="preserve">E012</t>
  </si>
  <si>
    <t xml:space="preserve">Step 9:  Type: On Track → choose: Green Fill with Dark Green Text → OK</t>
  </si>
  <si>
    <t xml:space="preserve">E013</t>
  </si>
  <si>
    <t xml:space="preserve">Marketing</t>
  </si>
  <si>
    <t xml:space="preserve">Step 10:  Repeat: Watch → Yellow Fill with Dark Yellow Text → OK</t>
  </si>
  <si>
    <t xml:space="preserve">E014</t>
  </si>
  <si>
    <t xml:space="preserve">Step 11:  Repeat: Below Target → Red Fill with Dark Red Text → OK</t>
  </si>
  <si>
    <t xml:space="preserve">E015</t>
  </si>
  <si>
    <t xml:space="preserve">VERIFY:  E007 Finance Compliance Jan: Target=25, Actual=18 → 72.0% → Below Target (Red) 🔴</t>
  </si>
  <si>
    <t xml:space="preserve">E016</t>
  </si>
  <si>
    <t xml:space="preserve">VERIFY:  E010 IT Skill Dev Jan: Target=35, Actual=40 → 114.3% → On Track (Green) ✅</t>
  </si>
  <si>
    <t xml:space="preserve">E017</t>
  </si>
  <si>
    <t xml:space="preserve">Operations</t>
  </si>
  <si>
    <t xml:space="preserve">E018</t>
  </si>
  <si>
    <t xml:space="preserve">E019</t>
  </si>
  <si>
    <t xml:space="preserve">E020</t>
  </si>
  <si>
    <t xml:space="preserve">E021</t>
  </si>
  <si>
    <t xml:space="preserve">Feb</t>
  </si>
  <si>
    <t xml:space="preserve">E022</t>
  </si>
  <si>
    <t xml:space="preserve">E023</t>
  </si>
  <si>
    <t xml:space="preserve">E024</t>
  </si>
  <si>
    <t xml:space="preserve">E025</t>
  </si>
  <si>
    <t xml:space="preserve">E026</t>
  </si>
  <si>
    <t xml:space="preserve">E027</t>
  </si>
  <si>
    <t xml:space="preserve">E028</t>
  </si>
  <si>
    <t xml:space="preserve">E029</t>
  </si>
  <si>
    <t xml:space="preserve">E030</t>
  </si>
  <si>
    <t xml:space="preserve">E031</t>
  </si>
  <si>
    <t xml:space="preserve">E032</t>
  </si>
  <si>
    <t xml:space="preserve">E033</t>
  </si>
  <si>
    <t xml:space="preserve">E034</t>
  </si>
  <si>
    <t xml:space="preserve">E035</t>
  </si>
  <si>
    <t xml:space="preserve">E036</t>
  </si>
  <si>
    <t xml:space="preserve">E037</t>
  </si>
  <si>
    <t xml:space="preserve">E038</t>
  </si>
  <si>
    <t xml:space="preserve">E039</t>
  </si>
  <si>
    <t xml:space="preserve">E040</t>
  </si>
  <si>
    <t xml:space="preserve">E041</t>
  </si>
  <si>
    <t xml:space="preserve">Mar</t>
  </si>
  <si>
    <t xml:space="preserve">E042</t>
  </si>
  <si>
    <t xml:space="preserve">E043</t>
  </si>
  <si>
    <t xml:space="preserve">E044</t>
  </si>
  <si>
    <t xml:space="preserve">E045</t>
  </si>
  <si>
    <t xml:space="preserve">E046</t>
  </si>
  <si>
    <t xml:space="preserve">E047</t>
  </si>
  <si>
    <t xml:space="preserve">E048</t>
  </si>
  <si>
    <t xml:space="preserve">E049</t>
  </si>
  <si>
    <t xml:space="preserve">E050</t>
  </si>
  <si>
    <t xml:space="preserve">E051</t>
  </si>
  <si>
    <t xml:space="preserve">E052</t>
  </si>
  <si>
    <t xml:space="preserve">E053</t>
  </si>
  <si>
    <t xml:space="preserve">E054</t>
  </si>
  <si>
    <t xml:space="preserve">E055</t>
  </si>
  <si>
    <t xml:space="preserve">E056</t>
  </si>
  <si>
    <t xml:space="preserve">E057</t>
  </si>
  <si>
    <t xml:space="preserve">E058</t>
  </si>
  <si>
    <t xml:space="preserve">E059</t>
  </si>
  <si>
    <t xml:space="preserve">E060</t>
  </si>
  <si>
    <t xml:space="preserve">E061</t>
  </si>
  <si>
    <t xml:space="preserve">Apr</t>
  </si>
  <si>
    <t xml:space="preserve">E062</t>
  </si>
  <si>
    <t xml:space="preserve">E063</t>
  </si>
  <si>
    <t xml:space="preserve">E064</t>
  </si>
  <si>
    <t xml:space="preserve">E065</t>
  </si>
  <si>
    <t xml:space="preserve">E066</t>
  </si>
  <si>
    <t xml:space="preserve">E067</t>
  </si>
  <si>
    <t xml:space="preserve">E068</t>
  </si>
  <si>
    <t xml:space="preserve">E069</t>
  </si>
  <si>
    <t xml:space="preserve">E070</t>
  </si>
  <si>
    <t xml:space="preserve">E071</t>
  </si>
  <si>
    <t xml:space="preserve">E072</t>
  </si>
  <si>
    <t xml:space="preserve">E073</t>
  </si>
  <si>
    <t xml:space="preserve">E074</t>
  </si>
  <si>
    <t xml:space="preserve">E075</t>
  </si>
  <si>
    <t xml:space="preserve">E076</t>
  </si>
  <si>
    <t xml:space="preserve">E077</t>
  </si>
  <si>
    <t xml:space="preserve">E078</t>
  </si>
  <si>
    <t xml:space="preserve">E079</t>
  </si>
  <si>
    <t xml:space="preserve">E080</t>
  </si>
  <si>
    <t xml:space="preserve">E081</t>
  </si>
  <si>
    <t xml:space="preserve">May</t>
  </si>
  <si>
    <t xml:space="preserve">E082</t>
  </si>
  <si>
    <t xml:space="preserve">E083</t>
  </si>
  <si>
    <t xml:space="preserve">E084</t>
  </si>
  <si>
    <t xml:space="preserve">E085</t>
  </si>
  <si>
    <t xml:space="preserve">E086</t>
  </si>
  <si>
    <t xml:space="preserve">E087</t>
  </si>
  <si>
    <t xml:space="preserve">E088</t>
  </si>
  <si>
    <t xml:space="preserve">E089</t>
  </si>
  <si>
    <t xml:space="preserve">E090</t>
  </si>
  <si>
    <t xml:space="preserve">E091</t>
  </si>
  <si>
    <t xml:space="preserve">E092</t>
  </si>
  <si>
    <t xml:space="preserve">E093</t>
  </si>
  <si>
    <t xml:space="preserve">E094</t>
  </si>
  <si>
    <t xml:space="preserve">E095</t>
  </si>
  <si>
    <t xml:space="preserve">E096</t>
  </si>
  <si>
    <t xml:space="preserve">E097</t>
  </si>
  <si>
    <t xml:space="preserve">E098</t>
  </si>
  <si>
    <t xml:space="preserve">E099</t>
  </si>
  <si>
    <t xml:space="preserve">E100</t>
  </si>
  <si>
    <t xml:space="preserve">E101</t>
  </si>
  <si>
    <t xml:space="preserve">Jun</t>
  </si>
  <si>
    <t xml:space="preserve">E102</t>
  </si>
  <si>
    <t xml:space="preserve">E103</t>
  </si>
  <si>
    <t xml:space="preserve">E104</t>
  </si>
  <si>
    <t xml:space="preserve">E105</t>
  </si>
  <si>
    <t xml:space="preserve">E106</t>
  </si>
  <si>
    <t xml:space="preserve">E107</t>
  </si>
  <si>
    <t xml:space="preserve">E108</t>
  </si>
  <si>
    <t xml:space="preserve">E109</t>
  </si>
  <si>
    <t xml:space="preserve">E110</t>
  </si>
  <si>
    <t xml:space="preserve">E111</t>
  </si>
  <si>
    <t xml:space="preserve">E112</t>
  </si>
  <si>
    <t xml:space="preserve">E113</t>
  </si>
  <si>
    <t xml:space="preserve">E114</t>
  </si>
  <si>
    <t xml:space="preserve">E115</t>
  </si>
  <si>
    <t xml:space="preserve">E116</t>
  </si>
  <si>
    <t xml:space="preserve">E117</t>
  </si>
  <si>
    <t xml:space="preserve">E118</t>
  </si>
  <si>
    <t xml:space="preserve">E119</t>
  </si>
  <si>
    <t xml:space="preserve">E120</t>
  </si>
  <si>
    <t xml:space="preserve">📊  QUICK ANALYSIS — Use these formulas after Exercise 1</t>
  </si>
  <si>
    <t xml:space="preserve">Total rows</t>
  </si>
  <si>
    <t xml:space="preserve">Should be 120</t>
  </si>
  <si>
    <t xml:space="preserve">Count: On Track</t>
  </si>
  <si>
    <t xml:space="preserve">How many green rows?</t>
  </si>
  <si>
    <t xml:space="preserve">Count: Watch</t>
  </si>
  <si>
    <t xml:space="preserve">How many yellow rows?</t>
  </si>
  <si>
    <t xml:space="preserve">Count: Below Target</t>
  </si>
  <si>
    <t xml:space="preserve">How many red rows?</t>
  </si>
  <si>
    <t xml:space="preserve">Overall Avg Achievement %</t>
  </si>
  <si>
    <t xml:space="preserve">Average across all 120 rows</t>
  </si>
  <si>
    <t xml:space="preserve">IT Avg Achievement %</t>
  </si>
  <si>
    <t xml:space="preserve">Average for IT department only</t>
  </si>
  <si>
    <t xml:space="preserve">Finance Avg Achievement %</t>
  </si>
  <si>
    <t xml:space="preserve">Average for Finance department only</t>
  </si>
  <si>
    <t xml:space="preserve">Compliance Avg %</t>
  </si>
  <si>
    <t xml:space="preserve">Average for Compliance training type</t>
  </si>
  <si>
    <t xml:space="preserve">⚠  CAUTION: Formula must be =(F8/E8)*100 NOT =(E8/F8)*100. Actual ÷ Target × 100. Wrong order = wrong results.</t>
  </si>
  <si>
    <t xml:space="preserve">Exercise 1  |  Module 1: Build KPI Formulas &amp; Traffic Light</t>
  </si>
  <si>
    <t xml:space="preserve">Work on the Employee_Training_Data sheet. Use this sheet as your step-by-step guide and answer record.</t>
  </si>
  <si>
    <t xml:space="preserve">🎯  OBJECTIVE</t>
  </si>
  <si>
    <t xml:space="preserve">✅  Build the Achievement % formula in column G of Employee_Training_Data.</t>
  </si>
  <si>
    <t xml:space="preserve">✅  Build the Status IF formula in column H.</t>
  </si>
  <si>
    <t xml:space="preserve">✅  Apply Conditional Formatting (Green / Yellow / Red) to the Status column.</t>
  </si>
  <si>
    <t xml:space="preserve">📊  Use COUNTIF and AVERAGEIF to analyse the results.</t>
  </si>
  <si>
    <t xml:space="preserve">📋  STEP-BY-STEP INSTRUCTIONS</t>
  </si>
  <si>
    <t xml:space="preserve">TASK 1 — Achievement % Column</t>
  </si>
  <si>
    <t xml:space="preserve">Go to Employee_Training_Data sheet. Click cell G6 and type: Achievement %</t>
  </si>
  <si>
    <t xml:space="preserve">Step 1 — Formula</t>
  </si>
  <si>
    <t xml:space="preserve">Click G8. Type this formula exactly:  =(F8/E8)*100  then press Enter.</t>
  </si>
  <si>
    <t xml:space="preserve">Formula means</t>
  </si>
  <si>
    <t xml:space="preserve">Actual Hours ÷ Target Hours × 100 = percentage of target achieved</t>
  </si>
  <si>
    <t xml:space="preserve">Expected result</t>
  </si>
  <si>
    <t xml:space="preserve">E001: Target=20, Actual=22 → (22÷20)×100 = 110.0  → ON TRACK ✅</t>
  </si>
  <si>
    <t xml:space="preserve">Step 2 — Fill down</t>
  </si>
  <si>
    <t xml:space="preserve">Select G8. Double-click the fill handle (bottom-right corner square) to fill down to G127.</t>
  </si>
  <si>
    <t xml:space="preserve">Step 3 — Format</t>
  </si>
  <si>
    <t xml:space="preserve">Select G8:G127 → Home → Number format dropdown → Number → set 1 decimal place.</t>
  </si>
  <si>
    <t xml:space="preserve">TASK 2 — Status Column</t>
  </si>
  <si>
    <t xml:space="preserve">Click H6. Type: Status</t>
  </si>
  <si>
    <t xml:space="preserve">Step 4 — IF Formula</t>
  </si>
  <si>
    <t xml:space="preserve">Click H8. Type: =IF(G8&gt;=100,"On Track",IF(G8&gt;=80,"Watch","Below Target"))  then Enter.</t>
  </si>
  <si>
    <t xml:space="preserve">What this means</t>
  </si>
  <si>
    <t xml:space="preserve">If Achievement ≥ 100% → On Track | If ≥ 80% → Watch | If &lt; 80% → Below Target</t>
  </si>
  <si>
    <t xml:space="preserve">Step 5 — Fill down</t>
  </si>
  <si>
    <t xml:space="preserve">Select H8. Double-click fill handle to fill to H127. Check 120 rows are filled.</t>
  </si>
  <si>
    <t xml:space="preserve">TASK 3 — Traffic Light</t>
  </si>
  <si>
    <t xml:space="preserve">Select H8:H127 → Home → Conditional Formatting → Highlight Cells Rules → Text that Contains</t>
  </si>
  <si>
    <t xml:space="preserve">Step 6 — Green</t>
  </si>
  <si>
    <t xml:space="preserve">Type: On Track → From dropdown choose: Green Fill with Dark Green Text → Click OK</t>
  </si>
  <si>
    <t xml:space="preserve">Step 7 — Yellow</t>
  </si>
  <si>
    <t xml:space="preserve">Apply again: Watch → Yellow Fill with Dark Yellow Text → Click OK</t>
  </si>
  <si>
    <t xml:space="preserve">Step 8 — Red</t>
  </si>
  <si>
    <t xml:space="preserve">Apply again: Below Target → Red Fill with Dark Red Text → Click OK</t>
  </si>
  <si>
    <t xml:space="preserve">Step 9 — Verify</t>
  </si>
  <si>
    <t xml:space="preserve">Scroll through column H. Can you spot the red rows at a glance? That is the power of KPI visualisation.</t>
  </si>
  <si>
    <t xml:space="preserve">✅  VERIFY YOUR ANSWERS</t>
  </si>
  <si>
    <t xml:space="preserve">Employee / Record</t>
  </si>
  <si>
    <t xml:space="preserve">Target &amp; Actual</t>
  </si>
  <si>
    <t xml:space="preserve">Expected Achievement %</t>
  </si>
  <si>
    <t xml:space="preserve">Expected Status</t>
  </si>
  <si>
    <t xml:space="preserve">E001 HR Onboarding Jan</t>
  </si>
  <si>
    <t xml:space="preserve">Target=20, Actual=22</t>
  </si>
  <si>
    <t xml:space="preserve">110.0%</t>
  </si>
  <si>
    <t xml:space="preserve">On Track</t>
  </si>
  <si>
    <t xml:space="preserve">E002 HR Skill Dev Jan</t>
  </si>
  <si>
    <t xml:space="preserve">Target=25, Actual=28</t>
  </si>
  <si>
    <t xml:space="preserve">112.0%</t>
  </si>
  <si>
    <t xml:space="preserve">E003 HR Compliance Jan</t>
  </si>
  <si>
    <t xml:space="preserve">Target=15, Actual=14</t>
  </si>
  <si>
    <t xml:space="preserve">93.3%</t>
  </si>
  <si>
    <t xml:space="preserve">Watch</t>
  </si>
  <si>
    <t xml:space="preserve">E007 Finance Compliance Jan</t>
  </si>
  <si>
    <t xml:space="preserve">Target=25, Actual=18</t>
  </si>
  <si>
    <t xml:space="preserve">72.0%</t>
  </si>
  <si>
    <t xml:space="preserve">Below Target</t>
  </si>
  <si>
    <t xml:space="preserve">E010 IT Skill Dev Jan</t>
  </si>
  <si>
    <t xml:space="preserve">Target=35, Actual=40</t>
  </si>
  <si>
    <t xml:space="preserve">114.3%</t>
  </si>
  <si>
    <t xml:space="preserve">E027 Finance Compliance Feb</t>
  </si>
  <si>
    <t xml:space="preserve">Target=26, Actual=20</t>
  </si>
  <si>
    <t xml:space="preserve">76.9%</t>
  </si>
  <si>
    <t xml:space="preserve">E040 Operations Leadership Feb</t>
  </si>
  <si>
    <t xml:space="preserve">Target=31, Actual=27</t>
  </si>
  <si>
    <t xml:space="preserve">87.1%</t>
  </si>
  <si>
    <t xml:space="preserve">E047 Finance Compliance Mar</t>
  </si>
  <si>
    <t xml:space="preserve">Target=27, Actual=21</t>
  </si>
  <si>
    <t xml:space="preserve">77.8%</t>
  </si>
  <si>
    <t xml:space="preserve">E060 Operations Leadership Mar</t>
  </si>
  <si>
    <t xml:space="preserve">Target=32, Actual=28</t>
  </si>
  <si>
    <t xml:space="preserve">87.5%</t>
  </si>
  <si>
    <t xml:space="preserve">E067 Finance Compliance Apr</t>
  </si>
  <si>
    <t xml:space="preserve">Target=28, Actual=22</t>
  </si>
  <si>
    <t xml:space="preserve">78.6%</t>
  </si>
  <si>
    <t xml:space="preserve">E080 Operations Leadership Apr</t>
  </si>
  <si>
    <t xml:space="preserve">Target=33, Actual=29</t>
  </si>
  <si>
    <t xml:space="preserve">87.9%</t>
  </si>
  <si>
    <t xml:space="preserve">E087 Finance Compliance May</t>
  </si>
  <si>
    <t xml:space="preserve">Target=29, Actual=23</t>
  </si>
  <si>
    <t xml:space="preserve">79.3%</t>
  </si>
  <si>
    <t xml:space="preserve">E100 Operations Leadership May</t>
  </si>
  <si>
    <t xml:space="preserve">Target=34, Actual=30</t>
  </si>
  <si>
    <t xml:space="preserve">88.2%</t>
  </si>
  <si>
    <t xml:space="preserve">E107 Finance Compliance Jun</t>
  </si>
  <si>
    <t xml:space="preserve">Target=30, Actual=24</t>
  </si>
  <si>
    <t xml:space="preserve">80.0%</t>
  </si>
  <si>
    <t xml:space="preserve">E110 IT Skill Dev Jun</t>
  </si>
  <si>
    <t xml:space="preserve">Target=40, Actual=46</t>
  </si>
  <si>
    <t xml:space="preserve">115.0%</t>
  </si>
  <si>
    <t xml:space="preserve">✏  ANSWER RECORD — Write what you found</t>
  </si>
  <si>
    <t xml:space="preserve">Q1: E003 status</t>
  </si>
  <si>
    <t xml:space="preserve">HR Compliance Jan (Target=15, Actual=14): Achievement = ___% Status = ___</t>
  </si>
  <si>
    <t xml:space="preserve">Q2: Most red dept</t>
  </si>
  <si>
    <t xml:space="preserve">Which Department appears most often as 'Below Target'? _______________</t>
  </si>
  <si>
    <t xml:space="preserve">Q3: Best dept</t>
  </si>
  <si>
    <t xml:space="preserve">Which Department has the highest average Achievement %? _______________</t>
  </si>
  <si>
    <t xml:space="preserve">Q4: Count formula</t>
  </si>
  <si>
    <t xml:space="preserve">How many rows are 'Below Target' total? Formula: =COUNTIF(H8:H127,"Below Target") = ___</t>
  </si>
  <si>
    <t xml:space="preserve">Q5: Lagging or Leading?</t>
  </si>
  <si>
    <t xml:space="preserve">Is 'Monthly Training Hours Achievement' a Leading or Lagging KPI? Why? _______________</t>
  </si>
  <si>
    <t xml:space="preserve">EXPECTED ANSWERS: Q1: 93.3% → Watch (Yellow). Q2: Finance (Compliance training consistently below 80%). Q3: IT (115%+ on Skill Development every month). Q4: Check Answer_Key sheet. Q5: Lagging — it measures completed hours AFTER the month ends.</t>
  </si>
  <si>
    <t xml:space="preserve">Exercise 2  |  Module 2: Create PivotTable, Slicers &amp; Report Connections</t>
  </si>
  <si>
    <t xml:space="preserve">Build a PivotTable from the training data, add interactive Slicers, and connect them to multiple visuals.</t>
  </si>
  <si>
    <t xml:space="preserve">✅  Create a PivotTable from Employee_Training_Data showing Hours by Dept × Training Type.</t>
  </si>
  <si>
    <t xml:space="preserve">✅  Add Department Slicer and Month Slicer for interactive filtering.</t>
  </si>
  <si>
    <t xml:space="preserve">✅  Create a second PivotTable (monthly trend) and connect both to the same Slicer.</t>
  </si>
  <si>
    <t xml:space="preserve">✅  Insert a PivotChart and verify Report Connections work across all visuals.</t>
  </si>
  <si>
    <t xml:space="preserve">📋  TASK 1: Create PivotTable (PT_Training)</t>
  </si>
  <si>
    <t xml:space="preserve">Step 1</t>
  </si>
  <si>
    <t xml:space="preserve">Go to Employee_Training_Data sheet. Click any cell inside the data table (e.g., cell A8).</t>
  </si>
  <si>
    <t xml:space="preserve">Step 2</t>
  </si>
  <si>
    <t xml:space="preserve">Go to Insert tab → click PivotTable → New Worksheet → click OK.</t>
  </si>
  <si>
    <t xml:space="preserve">Step 3</t>
  </si>
  <si>
    <t xml:space="preserve">A new blank sheet opens. In the PivotTable Field List on the right:</t>
  </si>
  <si>
    <t xml:space="preserve">Step 4</t>
  </si>
  <si>
    <t xml:space="preserve">Drag 'Department' → drop into ROWS area (bottom-left box).</t>
  </si>
  <si>
    <t xml:space="preserve">Step 5</t>
  </si>
  <si>
    <t xml:space="preserve">Drag 'Training Type' → drop into COLUMNS area (bottom-right box).</t>
  </si>
  <si>
    <t xml:space="preserve">Step 6</t>
  </si>
  <si>
    <t xml:space="preserve">Drag 'Actual Hours' → drop into VALUES area. It should show 'Sum of Actual Hours'.</t>
  </si>
  <si>
    <t xml:space="preserve">Step 7</t>
  </si>
  <si>
    <t xml:space="preserve">The PivotTable now shows total Actual Hours for each Dept × Training Type combination.</t>
  </si>
  <si>
    <t xml:space="preserve">Step 8</t>
  </si>
  <si>
    <t xml:space="preserve">Right-click any number → Value Field Settings → Custom Name: type 'Total Actual Hours' → OK.</t>
  </si>
  <si>
    <t xml:space="preserve">Step 9</t>
  </si>
  <si>
    <t xml:space="preserve">Rename this sheet: right-click the sheet tab → Rename → type: PT_Training → press Enter.</t>
  </si>
  <si>
    <t xml:space="preserve">Step ✅</t>
  </si>
  <si>
    <t xml:space="preserve">Your table should have 5 rows (HR, Finance, IT, Marketing, Operations) and 4 columns of training types.</t>
  </si>
  <si>
    <t xml:space="preserve">📋  TASK 2: Add Department and Month Slicers</t>
  </si>
  <si>
    <t xml:space="preserve">Click anywhere INSIDE the PivotTable (any data cell). The PivotTable Analyze tab appears at the top of the ribbon.</t>
  </si>
  <si>
    <t xml:space="preserve">Click the PivotTable Analyze tab → click 'Insert Slicer' in the Filter group.</t>
  </si>
  <si>
    <t xml:space="preserve">A checkbox dialog appears showing all available field names.</t>
  </si>
  <si>
    <t xml:space="preserve">Put a checkmark next to 'Department'. Put a checkmark next to 'Month'. Click OK.</t>
  </si>
  <si>
    <t xml:space="preserve">Two Slicer panels appear on the sheet: one for Department, one for Month.</t>
  </si>
  <si>
    <t xml:space="preserve">Click 'IT' in the Department Slicer. The PivotTable instantly filters to show only IT data.</t>
  </si>
  <si>
    <t xml:space="preserve">Hold Ctrl on your keyboard and click 'HR'. Now IT and HR both show in the PivotTable.</t>
  </si>
  <si>
    <t xml:space="preserve">Click the X button (top-right of Department Slicer) to clear the filter. All data returns.</t>
  </si>
  <si>
    <t xml:space="preserve">Click 'Jan' in the Month Slicer. Only January data shows.</t>
  </si>
  <si>
    <t xml:space="preserve">Step 10</t>
  </si>
  <si>
    <t xml:space="preserve">Click X on Month Slicer to clear. Move slicers: drag the title bar. Resize: drag corner handles.</t>
  </si>
  <si>
    <t xml:space="preserve">Step ★</t>
  </si>
  <si>
    <t xml:space="preserve">Click Department Slicer → Slicer tab appears in ribbon → choose a dark blue style to match.</t>
  </si>
  <si>
    <t xml:space="preserve">📋  TASK 3: Create Second PivotTable (PT_Monthly) and Connect Slicer</t>
  </si>
  <si>
    <t xml:space="preserve">Click outside the PT_Training PivotTable area on a blank cell. Go to Insert → PivotTable → New Worksheet → OK.</t>
  </si>
  <si>
    <t xml:space="preserve">In Field List: drag 'Month' → Rows | drag 'Actual Hours' → Values (Sum).</t>
  </si>
  <si>
    <t xml:space="preserve">Rename this sheet: PT_Monthly</t>
  </si>
  <si>
    <t xml:space="preserve">Go BACK to PT_Training sheet. Click on the Department Slicer to select it.</t>
  </si>
  <si>
    <t xml:space="preserve">Right-click the Department Slicer → select 'Report Connections' from the menu.</t>
  </si>
  <si>
    <t xml:space="preserve">A dialog shows all PivotTables in the workbook. Put a checkmark next to BOTH PT_Training and PT_Monthly.</t>
  </si>
  <si>
    <t xml:space="preserve">Click OK. Now the one Department Slicer controls BOTH PivotTables.</t>
  </si>
  <si>
    <t xml:space="preserve">Click 'Finance' in Department Slicer. Now check PT_Monthly sheet — does it also show only Finance? ✅</t>
  </si>
  <si>
    <t xml:space="preserve">Click 'IT'. Both tables update. This is Report Connections in action.</t>
  </si>
  <si>
    <t xml:space="preserve">Create a PivotChart: click inside PT_Training → PivotTable Analyze → PivotChart → Clustered Bar → OK.</t>
  </si>
  <si>
    <t xml:space="preserve">Right-click the chart → Move Chart → Object in → PT_Training. Connect to slicer via Report Connections.</t>
  </si>
  <si>
    <t xml:space="preserve">Q1: IT total hours (all months)</t>
  </si>
  <si>
    <t xml:space="preserve">Click IT in Slicer. What is the Grand Total for IT? _______________</t>
  </si>
  <si>
    <t xml:space="preserve">Q2: Finance + HR combined</t>
  </si>
  <si>
    <t xml:space="preserve">Ctrl+click Finance AND HR. Combined Grand Total = _______________</t>
  </si>
  <si>
    <t xml:space="preserve">Q3: Report Connections test</t>
  </si>
  <si>
    <t xml:space="preserve">When you click 'Operations', does PT_Monthly also filter? Yes / No: ___</t>
  </si>
  <si>
    <t xml:space="preserve">Q4: Slicer vs dropdown</t>
  </si>
  <si>
    <t xml:space="preserve">What is the main advantage of a Slicer over the PivotTable dropdown filter? _______________</t>
  </si>
  <si>
    <t xml:space="preserve">Q5: Month with most hours</t>
  </si>
  <si>
    <t xml:space="preserve">Clear all slicer filters. Which Month has the highest total Actual Hours? ___</t>
  </si>
  <si>
    <t xml:space="preserve">⚠  CAUTION: If clicking the Slicer does NOT update PT_Monthly — you forgot Report Connections. Fix: right-click Slicer → Report Connections → check PT_Monthly → OK.</t>
  </si>
  <si>
    <t xml:space="preserve">Exercise 3  |  Module 3 + 5: Build the Complete Training Dashboard</t>
  </si>
  <si>
    <t xml:space="preserve">Apply the 5 Design Principles. Build KPI boxes, insert charts, position slicers. Final capstone exercise.</t>
  </si>
  <si>
    <t xml:space="preserve">🏆  CAPSTONE OBJECTIVE — Build a professional, interactive Training Dashboard</t>
  </si>
  <si>
    <t xml:space="preserve">Create a NEW sheet called Training_Dashboard. Follow all 16 steps below. At the end, test: click a Slicer button — ALL visuals must update simultaneously.</t>
  </si>
  <si>
    <t xml:space="preserve">🗺  DASHBOARD LAYOUT PLAN (draw this on paper before you start)</t>
  </si>
  <si>
    <t xml:space="preserve">ZONE 1 — TOP (Rows 1–5)</t>
  </si>
  <si>
    <t xml:space="preserve">KPI BOXES: Overall Achievement % | On Track Count | Below Target Count</t>
  </si>
  <si>
    <t xml:space="preserve">ZONE 2 — MIDDLE (Rows 7–20)</t>
  </si>
  <si>
    <t xml:space="preserve">CHARTS: Bar chart (Dept hours) LEFT | Line chart (Monthly trend) RIGHT</t>
  </si>
  <si>
    <t xml:space="preserve">ZONE 3 — BOTTOM (Rows 22–30)</t>
  </si>
  <si>
    <t xml:space="preserve">DETAIL: PivotTable showing Dept × Training Type breakdown</t>
  </si>
  <si>
    <t xml:space="preserve">ZONE 4 — RIGHT (Col H+)</t>
  </si>
  <si>
    <t xml:space="preserve">SLICERS: Department + Month (positioned so they don't block charts)</t>
  </si>
  <si>
    <t xml:space="preserve">📋  STEP-BY-STEP BUILD INSTRUCTIONS</t>
  </si>
  <si>
    <t xml:space="preserve">STEP 1 — New Sheet</t>
  </si>
  <si>
    <t xml:space="preserve">Insert a new sheet. Right-click the sheet tab → Rename → type: Training_Dashboard → Enter.</t>
  </si>
  <si>
    <t xml:space="preserve">STEP 2 — Remove Gridlines</t>
  </si>
  <si>
    <t xml:space="preserve">View tab → uncheck 'Gridlines'. The sheet is now clean with no grid marks.</t>
  </si>
  <si>
    <t xml:space="preserve">STEP 3 — Dashboard Title</t>
  </si>
  <si>
    <t xml:space="preserve">Merge cells A1:E1. Type: Training Performance Dashboard — Jan–Jun 2024. Format: Dark Blue fill (#1E3A5F), White Bold text, Size 16. Set row 1 height = 40.</t>
  </si>
  <si>
    <t xml:space="preserve">STEP 4 — KPI Box 1: Overall Achievement</t>
  </si>
  <si>
    <t xml:space="preserve">Merge A3:B4. In a cell next to it, type this formula:  =AVERAGEIF('Employee_Training_Data'!G8:G127,"&gt;0")  Format: Blue fill, White bold text size 22. Label below: 'Overall Achievement %'.</t>
  </si>
  <si>
    <t xml:space="preserve">STEP 5 — KPI Box 2: On Track Count</t>
  </si>
  <si>
    <t xml:space="preserve">Merge D3:E4. Type: =COUNTIF('Employee_Training_Data'!H8:H127,"On Track")  Format: Green fill (#15803D), White bold. Label: 'On Track'.</t>
  </si>
  <si>
    <t xml:space="preserve">STEP 6 — KPI Box 3: Below Target Count</t>
  </si>
  <si>
    <t xml:space="preserve">Merge G3:H4. Type: =COUNTIF('Employee_Training_Data'!H8:H127,"Below Target")  Format: Red fill (#991B1B), White bold. Label: 'Below Target'.</t>
  </si>
  <si>
    <t xml:space="preserve">STEP 7 — Bar Chart (Dept Hours)</t>
  </si>
  <si>
    <t xml:space="preserve">Go to PT_Training sheet. Click inside PivotTable. Right-click chart (if it exists) OR create: PivotTable Analyze → PivotChart → Clustered Bar → OK.</t>
  </si>
  <si>
    <t xml:space="preserve">STEP 8 — Move Bar Chart to Dashboard</t>
  </si>
  <si>
    <t xml:space="preserve">Right-click the bar chart → Move Chart → Object in → select 'Training_Dashboard' → OK. Resize to fill rows 6–20, columns A–D.</t>
  </si>
  <si>
    <t xml:space="preserve">STEP 9 — Line Chart (Monthly Trend)</t>
  </si>
  <si>
    <t xml:space="preserve">Go to PT_Monthly. Click inside PivotTable → PivotTable Analyze → PivotChart → Line → Line with Markers → OK.</t>
  </si>
  <si>
    <t xml:space="preserve">STEP 10 — Move Line Chart to Dashboard</t>
  </si>
  <si>
    <t xml:space="preserve">Right-click line chart → Move Chart → Object in → Training_Dashboard → OK. Position: rows 6–20, columns E–H. Make SAME HEIGHT as bar chart.</t>
  </si>
  <si>
    <t xml:space="preserve">STEP 11 — Add Chart Titles</t>
  </si>
  <si>
    <t xml:space="preserve">Click bar chart → click '+' button → check Chart Title. Type: 'Training Hours by Department'. Repeat for line chart: 'Monthly Training Hours Trend'.</t>
  </si>
  <si>
    <t xml:space="preserve">STEP 12 — Move Slicers to Dashboard</t>
  </si>
  <si>
    <t xml:space="preserve">Go to PT_Training. Click Department Slicer. Cut (Ctrl+X). Go to Training_Dashboard. Paste (Ctrl+V). Position to the RIGHT of the charts (column I onwards). Repeat for Month Slicer.</t>
  </si>
  <si>
    <t xml:space="preserve">STEP 13 — Connect Slicers</t>
  </si>
  <si>
    <t xml:space="preserve">Right-click Department Slicer → Report Connections → check ALL PivotTables → OK. Repeat for Month Slicer.</t>
  </si>
  <si>
    <t xml:space="preserve">STEP 14 — Format Slicers</t>
  </si>
  <si>
    <t xml:space="preserve">Click Department Slicer → Slicer tab → choose dark blue style. Repeat for Month Slicer.</t>
  </si>
  <si>
    <t xml:space="preserve">STEP 15 — 5 Principles Checklist</t>
  </si>
  <si>
    <t xml:space="preserve">Hierarchy: KPIs at top ✓ | Alignment: charts same height ✓ | White Space: gaps between zones ✓ | Colour: green/red on KPI boxes ✓ | Consistency: one font throughout ✓</t>
  </si>
  <si>
    <t xml:space="preserve">STEP 16 — FINAL TEST</t>
  </si>
  <si>
    <t xml:space="preserve">Click 'IT' in Department Slicer. Do BOTH charts AND KPI counts update? If YES → YOUR DASHBOARD IS COMPLETE! 🎉</t>
  </si>
  <si>
    <t xml:space="preserve">✅  DASHBOARD SELF-CHECKLIST</t>
  </si>
  <si>
    <t xml:space="preserve">☐  KPI boxes visible at top with correct numbers (Achievement %, On Track, Below Target)</t>
  </si>
  <si>
    <t xml:space="preserve">☐  Two charts side by side in the middle — same height, both have chart titles</t>
  </si>
  <si>
    <t xml:space="preserve">☐  Slicers positioned to the right — not blocking any charts</t>
  </si>
  <si>
    <t xml:space="preserve">☐  Gridlines turned off — dashboard background is clean</t>
  </si>
  <si>
    <t xml:space="preserve">☐  Click 'IT' in Slicer → both charts AND KPI boxes all update together</t>
  </si>
  <si>
    <t xml:space="preserve">☐  Click 'Finance' in Slicer → Finance Compliance (red rows) becomes visible in chart</t>
  </si>
  <si>
    <t xml:space="preserve">☐  Click 'Jan' in Month Slicer → charts show January only</t>
  </si>
  <si>
    <t xml:space="preserve">☐  Clear all slicers (X button) → full data returns to all visuals</t>
  </si>
  <si>
    <t xml:space="preserve">✏  REFLECTION QUESTIONS — Answer after completing the dashboard</t>
  </si>
  <si>
    <t xml:space="preserve">R1: Dept with most red</t>
  </si>
  <si>
    <t xml:space="preserve">After filtering to each Department, which one has the most 'Below Target' employees? ___</t>
  </si>
  <si>
    <t xml:space="preserve">R2: Best training type</t>
  </si>
  <si>
    <t xml:space="preserve">Which Training Type has the highest average Achievement % across all departments? ___</t>
  </si>
  <si>
    <t xml:space="preserve">R3: Month trend</t>
  </si>
  <si>
    <t xml:space="preserve">Looking at the monthly trend chart, does training hours increase or decrease Jan to Jun? ___</t>
  </si>
  <si>
    <t xml:space="preserve">R4: Report vs Dashboard</t>
  </si>
  <si>
    <t xml:space="preserve">If your manager asks for every employee's training record, do you give them this dashboard or the data sheet? Why? ___</t>
  </si>
  <si>
    <t xml:space="preserve">R5: Design principle</t>
  </si>
  <si>
    <t xml:space="preserve">Which of the 5 Design Principles did you find hardest to apply in your dashboard? Why? ___</t>
  </si>
  <si>
    <t xml:space="preserve">Answer Key  |  Expected Values for All Exercises</t>
  </si>
  <si>
    <t xml:space="preserve">Check your work against these expected answers after completing each exercise.</t>
  </si>
  <si>
    <t xml:space="preserve">Use this sheet AFTER completing each exercise to verify your formulas are correct. Do not look at this sheet before attempting the exercise!</t>
  </si>
  <si>
    <t xml:space="preserve">📊  EXERCISE 1 — KPI Achievement % Expected Values (selected rows)</t>
  </si>
  <si>
    <t xml:space="preserve">Employee &amp; Detail</t>
  </si>
  <si>
    <t xml:space="preserve">E001 — HR Onboarding Jan: Target=20, Actual=22</t>
  </si>
  <si>
    <t xml:space="preserve">E002 — HR Skill Development Jan: Target=25, Actual=28</t>
  </si>
  <si>
    <t xml:space="preserve">E003 — HR Compliance Jan: Target=15, Actual=14</t>
  </si>
  <si>
    <t xml:space="preserve">E007 — Finance Compliance Jan: Target=25, Actual=18</t>
  </si>
  <si>
    <t xml:space="preserve">E010 — IT Skill Development Jan: Target=35, Actual=40</t>
  </si>
  <si>
    <t xml:space="preserve">E011 — IT Compliance Jan: Target=20, Actual=19</t>
  </si>
  <si>
    <t xml:space="preserve">95.0%</t>
  </si>
  <si>
    <t xml:space="preserve">E020 — Operations Leadership Jan: Target=30, Actual=26</t>
  </si>
  <si>
    <t xml:space="preserve">86.7%</t>
  </si>
  <si>
    <t xml:space="preserve">E027 — Finance Compliance Feb: Target=26, Actual=20</t>
  </si>
  <si>
    <t xml:space="preserve">E039 — Operations Compliance Feb: Target=23, Actual=22</t>
  </si>
  <si>
    <t xml:space="preserve">95.7%</t>
  </si>
  <si>
    <t xml:space="preserve">E047 — Finance Compliance Mar: Target=27, Actual=21</t>
  </si>
  <si>
    <t xml:space="preserve">E060 — Operations Leadership Mar: Target=32, Actual=28</t>
  </si>
  <si>
    <t xml:space="preserve">E067 — Finance Compliance Apr: Target=28, Actual=22</t>
  </si>
  <si>
    <t xml:space="preserve">E080 — Operations Leadership Apr: Target=33, Actual=29</t>
  </si>
  <si>
    <t xml:space="preserve">E087 — Finance Compliance May: Target=29, Actual=23</t>
  </si>
  <si>
    <t xml:space="preserve">E100 — Operations Leadership May: Target=34, Actual=30</t>
  </si>
  <si>
    <t xml:space="preserve">E107 — Finance Compliance Jun: Target=30, Actual=24</t>
  </si>
  <si>
    <t xml:space="preserve">E110 — IT Skill Development Jun: Target=40, Actual=46</t>
  </si>
  <si>
    <t xml:space="preserve">📊  AGGREGATE ANSWERS</t>
  </si>
  <si>
    <t xml:space="preserve">Total rows in dataset</t>
  </si>
  <si>
    <t xml:space="preserve">120 (E001 to E120)</t>
  </si>
  <si>
    <t xml:space="preserve">Count: On Track (≥ 100%)</t>
  </si>
  <si>
    <t xml:space="preserve">54 rows</t>
  </si>
  <si>
    <t xml:space="preserve">Count: Watch (≥ 80% but &lt; 100%)</t>
  </si>
  <si>
    <t xml:space="preserve">61 rows</t>
  </si>
  <si>
    <t xml:space="preserve">Count: Below Target (&lt; 80%)</t>
  </si>
  <si>
    <t xml:space="preserve">5 rows</t>
  </si>
  <si>
    <t xml:space="preserve">Overall Average Achievement %</t>
  </si>
  <si>
    <t xml:space="preserve">99.3%</t>
  </si>
  <si>
    <t xml:space="preserve">HR Average Achievement %</t>
  </si>
  <si>
    <t xml:space="preserve">103.2%</t>
  </si>
  <si>
    <t xml:space="preserve">Finance Average Achievement %</t>
  </si>
  <si>
    <t xml:space="preserve">91.5%  ← Lowest dept</t>
  </si>
  <si>
    <t xml:space="preserve">IT Average Achievement %</t>
  </si>
  <si>
    <t xml:space="preserve">105.7%  ← Highest dept</t>
  </si>
  <si>
    <t xml:space="preserve">Marketing Average Achievement %</t>
  </si>
  <si>
    <t xml:space="preserve">102.1%</t>
  </si>
  <si>
    <t xml:space="preserve">Operations Average Achievement %</t>
  </si>
  <si>
    <t xml:space="preserve">94.1%</t>
  </si>
  <si>
    <t xml:space="preserve">Onboarding Avg Achievement %</t>
  </si>
  <si>
    <t xml:space="preserve">100.8%</t>
  </si>
  <si>
    <t xml:space="preserve">Skill Development Avg Achievement %</t>
  </si>
  <si>
    <t xml:space="preserve">101.0%  ← IT drives this high</t>
  </si>
  <si>
    <t xml:space="preserve">Compliance Avg Achievement %</t>
  </si>
  <si>
    <t xml:space="preserve">94.6%  ← Lowest training type</t>
  </si>
  <si>
    <t xml:space="preserve">Leadership Avg Achievement %</t>
  </si>
  <si>
    <t xml:space="preserve">January Total Actual Hours</t>
  </si>
  <si>
    <t xml:space="preserve">481 hrs</t>
  </si>
  <si>
    <t xml:space="preserve">February Total Actual Hours</t>
  </si>
  <si>
    <t xml:space="preserve">502 hrs</t>
  </si>
  <si>
    <t xml:space="preserve">March Total Actual Hours</t>
  </si>
  <si>
    <t xml:space="preserve">523 hrs</t>
  </si>
  <si>
    <t xml:space="preserve">April Total Actual Hours</t>
  </si>
  <si>
    <t xml:space="preserve">543 hrs</t>
  </si>
  <si>
    <t xml:space="preserve">May Total Actual Hours</t>
  </si>
  <si>
    <t xml:space="preserve">561 hrs</t>
  </si>
  <si>
    <t xml:space="preserve">June Total Actual Hours</t>
  </si>
  <si>
    <t xml:space="preserve">582 hrs  ← Highest month</t>
  </si>
  <si>
    <t xml:space="preserve">📊  KEY INSIGHTS (for reflection questions)</t>
  </si>
  <si>
    <t xml:space="preserve">Most 'Below Target' department</t>
  </si>
  <si>
    <t xml:space="preserve">Finance — especially Compliance training. Finance Compliance is below 80% in ALL 6 months (72–80%).</t>
  </si>
  <si>
    <t xml:space="preserve">Best performing department</t>
  </si>
  <si>
    <t xml:space="preserve">IT — Skill Development consistently 114–115%. IT overall average is the highest of all departments.</t>
  </si>
  <si>
    <t xml:space="preserve">Lowest performing training type</t>
  </si>
  <si>
    <t xml:space="preserve">Compliance — average 94.6% across all departments. Finance Compliance is the weakest combination.</t>
  </si>
  <si>
    <t xml:space="preserve">Monthly trend direction</t>
  </si>
  <si>
    <t xml:space="preserve">Training hours increase from January to June across all departments — positive upward trend.</t>
  </si>
  <si>
    <t xml:space="preserve">Dashboard vs Report</t>
  </si>
  <si>
    <t xml:space="preserve">Manager wants individual records → give the Report (data sheet). Manager wants performance overview → give the Dashboard.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</si>
</sst>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92400E"/>
      <name val="Calibri"/>
      <family val="0"/>
      <charset val="1"/>
    </font>
    <font>
      <b val="true"/>
      <sz val="10"/>
      <color rgb="FF15803D"/>
      <name val="Calibri"/>
      <family val="0"/>
      <charset val="1"/>
    </font>
    <font>
      <sz val="10"/>
      <color rgb="FF15803D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1F4E79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sz val="10"/>
      <color rgb="FF276221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sz val="10"/>
      <color rgb="FF9C65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9C0006"/>
      <name val="Calibri"/>
      <family val="0"/>
      <charset val="1"/>
    </font>
    <font>
      <b val="true"/>
      <sz val="10"/>
      <color rgb="FF991B1B"/>
      <name val="Calibri"/>
      <family val="0"/>
      <charset val="1"/>
    </font>
    <font>
      <sz val="10"/>
      <color rgb="FF991B1B"/>
      <name val="Calibri"/>
      <family val="0"/>
      <charset val="1"/>
    </font>
    <font>
      <i val="true"/>
      <sz val="9"/>
      <color rgb="FF0F766E"/>
      <name val="Calibri"/>
      <family val="0"/>
      <charset val="1"/>
    </font>
    <font>
      <i val="true"/>
      <sz val="9"/>
      <color rgb="FF92400E"/>
      <name val="Calibri"/>
      <family val="0"/>
      <charset val="1"/>
    </font>
    <font>
      <i val="true"/>
      <sz val="8"/>
      <color rgb="FF1E3A5F"/>
      <name val="Calibri"/>
      <family val="0"/>
      <charset val="1"/>
    </font>
    <font>
      <i val="true"/>
      <sz val="8"/>
      <color rgb="FF1F4E79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sz val="9"/>
      <color rgb="FF000000"/>
      <name val="Calibri"/>
      <family val="0"/>
      <charset val="1"/>
    </font>
    <font>
      <i val="true"/>
      <sz val="9"/>
      <color rgb="FF15803D"/>
      <name val="Calibri"/>
      <family val="0"/>
      <charset val="1"/>
    </font>
    <font>
      <i val="true"/>
      <sz val="9"/>
      <color rgb="FF1F4E79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i val="true"/>
      <sz val="9"/>
      <color rgb="FF991B1B"/>
      <name val="Calibri"/>
      <family val="0"/>
      <charset val="1"/>
    </font>
    <font>
      <sz val="10"/>
      <color rgb="FF1E3A5F"/>
      <name val="Calibri"/>
      <family val="0"/>
      <charset val="1"/>
    </font>
    <font>
      <sz val="9"/>
      <color rgb="FF92400E"/>
      <name val="Calibri"/>
      <family val="0"/>
      <charset val="1"/>
    </font>
    <font>
      <sz val="9"/>
      <color rgb="FF15803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E3A5F"/>
      <name val="Calibri"/>
      <family val="0"/>
      <charset val="1"/>
    </font>
    <font>
      <b val="true"/>
      <sz val="9"/>
      <color rgb="FF276221"/>
      <name val="Calibri"/>
      <family val="0"/>
      <charset val="1"/>
    </font>
    <font>
      <sz val="9"/>
      <color rgb="FF276221"/>
      <name val="Calibri"/>
      <family val="0"/>
      <charset val="1"/>
    </font>
    <font>
      <b val="true"/>
      <sz val="9"/>
      <color rgb="FF1F4E79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1F4E79"/>
      </patternFill>
    </fill>
    <fill>
      <patternFill patternType="solid">
        <fgColor rgb="FF1E40AF"/>
        <bgColor rgb="FF1F4E79"/>
      </patternFill>
    </fill>
    <fill>
      <patternFill patternType="solid">
        <fgColor rgb="FFFFF9C4"/>
        <bgColor rgb="FFFFEB9C"/>
      </patternFill>
    </fill>
    <fill>
      <patternFill patternType="solid">
        <fgColor rgb="FFFFFFFF"/>
        <bgColor rgb="FFEFF6FF"/>
      </patternFill>
    </fill>
    <fill>
      <patternFill patternType="solid">
        <fgColor rgb="FFEEF3F9"/>
        <bgColor rgb="FFEBF5FB"/>
      </patternFill>
    </fill>
    <fill>
      <patternFill patternType="solid">
        <fgColor rgb="FFDCFCE7"/>
        <bgColor rgb="FFEBF5FB"/>
      </patternFill>
    </fill>
    <fill>
      <patternFill patternType="solid">
        <fgColor rgb="FFEBF5FB"/>
        <bgColor rgb="FFEEF3F9"/>
      </patternFill>
    </fill>
    <fill>
      <patternFill patternType="solid">
        <fgColor rgb="FFC6EFCE"/>
        <bgColor rgb="FFDCFCE7"/>
      </patternFill>
    </fill>
    <fill>
      <patternFill patternType="solid">
        <fgColor rgb="FFFFEB9C"/>
        <bgColor rgb="FFFFF9C4"/>
      </patternFill>
    </fill>
    <fill>
      <patternFill patternType="solid">
        <fgColor rgb="FFFFC7CE"/>
        <bgColor rgb="FFFEE2E2"/>
      </patternFill>
    </fill>
    <fill>
      <patternFill patternType="solid">
        <fgColor rgb="FFFEE2E2"/>
        <bgColor rgb="FFEEF3F9"/>
      </patternFill>
    </fill>
    <fill>
      <patternFill patternType="solid">
        <fgColor rgb="FF766E22"/>
        <bgColor rgb="FF9C6500"/>
      </patternFill>
    </fill>
    <fill>
      <patternFill patternType="solid">
        <fgColor rgb="FF0F766E"/>
        <bgColor rgb="FF008080"/>
      </patternFill>
    </fill>
    <fill>
      <patternFill patternType="solid">
        <fgColor rgb="FFEFF6FF"/>
        <bgColor rgb="FFEBF5FB"/>
      </patternFill>
    </fill>
    <fill>
      <patternFill patternType="solid">
        <fgColor rgb="FF15803D"/>
        <bgColor rgb="FF0F766E"/>
      </patternFill>
    </fill>
    <fill>
      <patternFill patternType="solid">
        <fgColor rgb="FF6D28D9"/>
        <bgColor rgb="FF800080"/>
      </patternFill>
    </fill>
    <fill>
      <patternFill patternType="solid">
        <fgColor rgb="FFC2410C"/>
        <bgColor rgb="FF92400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E3A5F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EEF3F9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0F766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5803D"/>
      <rgbColor rgb="FF000080"/>
      <rgbColor rgb="FF766E22"/>
      <rgbColor rgb="FF6D28D9"/>
      <rgbColor rgb="FF0F766E"/>
      <rgbColor rgb="FFBBBBBB"/>
      <rgbColor rgb="FF9C6500"/>
      <rgbColor rgb="FF9999FF"/>
      <rgbColor rgb="FFC2410C"/>
      <rgbColor rgb="FFFFF9C4"/>
      <rgbColor rgb="FFDCFCE7"/>
      <rgbColor rgb="FF660066"/>
      <rgbColor rgb="FFFF8080"/>
      <rgbColor rgb="FF0066CC"/>
      <rgbColor rgb="FFFEE2E2"/>
      <rgbColor rgb="FF000080"/>
      <rgbColor rgb="FFFF00FF"/>
      <rgbColor rgb="FFFFFF00"/>
      <rgbColor rgb="FF00FFFF"/>
      <rgbColor rgb="FF800080"/>
      <rgbColor rgb="FF991B1B"/>
      <rgbColor rgb="FF008080"/>
      <rgbColor rgb="FF0000FF"/>
      <rgbColor rgb="FF00CCFF"/>
      <rgbColor rgb="FFEBF5FB"/>
      <rgbColor rgb="FFC6EFCE"/>
      <rgbColor rgb="FFFFEB9C"/>
      <rgbColor rgb="FFEEF3F9"/>
      <rgbColor rgb="FFEFF6FF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276221"/>
      <rgbColor rgb="FF92400E"/>
      <rgbColor rgb="FF993366"/>
      <rgbColor rgb="FF1E40AF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ainingData" displayName="TrainingData" ref="A6:H126" headerRowCount="1" totalsRowCount="0" totalsRowShown="0">
  <autoFilter ref="A6:H126"/>
  <tableColumns count="8">
    <tableColumn id="1" name="Employee ID"/>
    <tableColumn id="2" name="Department"/>
    <tableColumn id="3" name="Training Type"/>
    <tableColumn id="4" name="Month"/>
    <tableColumn id="5" name="Target Hours"/>
    <tableColumn id="6" name="Actual Hours"/>
    <tableColumn id="7" name="Achievement %"/>
    <tableColumn id="8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6"/>
  </cols>
  <sheetData>
    <row r="1" customFormat="false" ht="42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/>
    </row>
    <row r="4" customFormat="false" ht="25.5" hidden="false" customHeight="true" outlineLevel="0" collapsed="false">
      <c r="A4" s="3" t="s">
        <v>2</v>
      </c>
      <c r="B4" s="3"/>
    </row>
    <row r="5" customFormat="false" ht="25.5" hidden="false" customHeight="true" outlineLevel="0" collapsed="false">
      <c r="A5" s="4" t="s">
        <v>3</v>
      </c>
      <c r="B5" s="5" t="s">
        <v>4</v>
      </c>
    </row>
    <row r="6" customFormat="false" ht="25.5" hidden="false" customHeight="true" outlineLevel="0" collapsed="false">
      <c r="A6" s="4" t="s">
        <v>5</v>
      </c>
      <c r="B6" s="6" t="s">
        <v>6</v>
      </c>
    </row>
    <row r="7" customFormat="false" ht="25.5" hidden="false" customHeight="true" outlineLevel="0" collapsed="false">
      <c r="A7" s="4" t="s">
        <v>7</v>
      </c>
      <c r="B7" s="5" t="s">
        <v>8</v>
      </c>
    </row>
    <row r="8" customFormat="false" ht="25.5" hidden="false" customHeight="true" outlineLevel="0" collapsed="false">
      <c r="A8" s="4" t="s">
        <v>9</v>
      </c>
      <c r="B8" s="6" t="s">
        <v>10</v>
      </c>
    </row>
    <row r="9" customFormat="false" ht="25.5" hidden="false" customHeight="true" outlineLevel="0" collapsed="false">
      <c r="A9" s="4" t="s">
        <v>11</v>
      </c>
      <c r="B9" s="5" t="s">
        <v>12</v>
      </c>
    </row>
    <row r="10" customFormat="false" ht="25.5" hidden="false" customHeight="true" outlineLevel="0" collapsed="false">
      <c r="A10" s="4" t="s">
        <v>13</v>
      </c>
      <c r="B10" s="6" t="s">
        <v>14</v>
      </c>
    </row>
    <row r="11" customFormat="false" ht="25.5" hidden="false" customHeight="true" outlineLevel="0" collapsed="false">
      <c r="A11" s="4" t="s">
        <v>15</v>
      </c>
      <c r="B11" s="5" t="s">
        <v>16</v>
      </c>
    </row>
    <row r="13" customFormat="false" ht="25.5" hidden="false" customHeight="true" outlineLevel="0" collapsed="false">
      <c r="A13" s="3" t="s">
        <v>17</v>
      </c>
      <c r="B13" s="3"/>
    </row>
    <row r="14" customFormat="false" ht="21.75" hidden="false" customHeight="true" outlineLevel="0" collapsed="false">
      <c r="A14" s="7" t="s">
        <v>18</v>
      </c>
      <c r="B14" s="8" t="s">
        <v>19</v>
      </c>
    </row>
    <row r="15" customFormat="false" ht="21.75" hidden="false" customHeight="true" outlineLevel="0" collapsed="false">
      <c r="A15" s="9" t="s">
        <v>20</v>
      </c>
      <c r="B15" s="6" t="s">
        <v>21</v>
      </c>
    </row>
    <row r="16" customFormat="false" ht="21.75" hidden="false" customHeight="true" outlineLevel="0" collapsed="false">
      <c r="A16" s="4" t="s">
        <v>22</v>
      </c>
      <c r="B16" s="10" t="s">
        <v>23</v>
      </c>
    </row>
    <row r="17" customFormat="false" ht="21.75" hidden="false" customHeight="true" outlineLevel="0" collapsed="false">
      <c r="A17" s="11" t="s">
        <v>24</v>
      </c>
      <c r="B17" s="12" t="s">
        <v>25</v>
      </c>
    </row>
    <row r="18" customFormat="false" ht="21.75" hidden="false" customHeight="true" outlineLevel="0" collapsed="false">
      <c r="A18" s="13" t="s">
        <v>26</v>
      </c>
      <c r="B18" s="14" t="s">
        <v>27</v>
      </c>
    </row>
    <row r="19" customFormat="false" ht="21.75" hidden="false" customHeight="true" outlineLevel="0" collapsed="false">
      <c r="A19" s="15" t="s">
        <v>28</v>
      </c>
      <c r="B19" s="16" t="s">
        <v>29</v>
      </c>
    </row>
    <row r="20" customFormat="false" ht="21.75" hidden="false" customHeight="true" outlineLevel="0" collapsed="false">
      <c r="A20" s="17" t="s">
        <v>30</v>
      </c>
      <c r="B20" s="18" t="s">
        <v>31</v>
      </c>
    </row>
    <row r="21" customFormat="false" ht="21.75" hidden="false" customHeight="true" outlineLevel="0" collapsed="false">
      <c r="A21" s="19" t="s">
        <v>32</v>
      </c>
      <c r="B21" s="20" t="s">
        <v>33</v>
      </c>
    </row>
    <row r="22" customFormat="false" ht="21.75" hidden="false" customHeight="true" outlineLevel="0" collapsed="false">
      <c r="A22" s="21" t="s">
        <v>34</v>
      </c>
      <c r="B22" s="22" t="s">
        <v>35</v>
      </c>
    </row>
    <row r="24" customFormat="false" ht="31.5" hidden="false" customHeight="true" outlineLevel="0" collapsed="false">
      <c r="A24" s="23" t="s">
        <v>36</v>
      </c>
      <c r="B24" s="23"/>
    </row>
  </sheetData>
  <mergeCells count="5">
    <mergeCell ref="A1:B1"/>
    <mergeCell ref="A2:B2"/>
    <mergeCell ref="A4:B4"/>
    <mergeCell ref="A13:B1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"/>
    <col collapsed="false" customWidth="true" hidden="false" outlineLevel="0" max="10" min="10" style="0" width="52"/>
  </cols>
  <sheetData>
    <row r="1" customFormat="false" ht="42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24" t="s">
        <v>39</v>
      </c>
      <c r="B4" s="24"/>
      <c r="C4" s="24"/>
      <c r="D4" s="24"/>
      <c r="E4" s="24"/>
      <c r="F4" s="24"/>
      <c r="G4" s="24"/>
      <c r="H4" s="24"/>
    </row>
    <row r="5" customFormat="false" ht="31.5" hidden="false" customHeight="true" outlineLevel="0" collapsed="false">
      <c r="A5" s="25" t="s">
        <v>40</v>
      </c>
      <c r="B5" s="25"/>
      <c r="C5" s="25"/>
      <c r="D5" s="25"/>
      <c r="E5" s="25"/>
      <c r="F5" s="25"/>
      <c r="G5" s="25"/>
      <c r="H5" s="25"/>
    </row>
    <row r="6" customFormat="false" ht="25.5" hidden="false" customHeight="true" outlineLevel="0" collapsed="false">
      <c r="A6" s="26" t="s">
        <v>41</v>
      </c>
      <c r="B6" s="26" t="s">
        <v>42</v>
      </c>
      <c r="C6" s="26" t="s">
        <v>43</v>
      </c>
      <c r="D6" s="26" t="s">
        <v>44</v>
      </c>
      <c r="E6" s="26" t="s">
        <v>45</v>
      </c>
      <c r="F6" s="26" t="s">
        <v>46</v>
      </c>
      <c r="G6" s="27" t="s">
        <v>47</v>
      </c>
      <c r="H6" s="28" t="s">
        <v>48</v>
      </c>
      <c r="J6" s="29" t="s">
        <v>49</v>
      </c>
    </row>
    <row r="7" customFormat="false" ht="27.75" hidden="false" customHeight="true" outlineLevel="0" collapsed="false">
      <c r="A7" s="30" t="s">
        <v>50</v>
      </c>
      <c r="B7" s="30" t="s">
        <v>51</v>
      </c>
      <c r="C7" s="30" t="s">
        <v>52</v>
      </c>
      <c r="D7" s="30" t="s">
        <v>53</v>
      </c>
      <c r="E7" s="30" t="s">
        <v>54</v>
      </c>
      <c r="F7" s="30" t="s">
        <v>55</v>
      </c>
      <c r="G7" s="31" t="e">
        <f aca="false">(f/e)*100 ✏</f>
        <v>#N/A</v>
      </c>
      <c r="H7" s="31" t="s">
        <v>56</v>
      </c>
      <c r="J7" s="32" t="s">
        <v>57</v>
      </c>
    </row>
    <row r="8" customFormat="false" ht="27.75" hidden="false" customHeight="true" outlineLevel="0" collapsed="false">
      <c r="A8" s="33" t="s">
        <v>58</v>
      </c>
      <c r="B8" s="33" t="s">
        <v>59</v>
      </c>
      <c r="C8" s="33" t="s">
        <v>60</v>
      </c>
      <c r="D8" s="33" t="s">
        <v>61</v>
      </c>
      <c r="E8" s="34" t="n">
        <v>20</v>
      </c>
      <c r="F8" s="34" t="n">
        <v>22</v>
      </c>
      <c r="G8" s="35"/>
      <c r="H8" s="36"/>
      <c r="J8" s="37" t="s">
        <v>62</v>
      </c>
    </row>
    <row r="9" customFormat="false" ht="27.75" hidden="false" customHeight="true" outlineLevel="0" collapsed="false">
      <c r="A9" s="38" t="s">
        <v>63</v>
      </c>
      <c r="B9" s="38" t="s">
        <v>59</v>
      </c>
      <c r="C9" s="38" t="s">
        <v>64</v>
      </c>
      <c r="D9" s="38" t="s">
        <v>61</v>
      </c>
      <c r="E9" s="39" t="n">
        <v>25</v>
      </c>
      <c r="F9" s="39" t="n">
        <v>28</v>
      </c>
      <c r="G9" s="35"/>
      <c r="H9" s="36"/>
      <c r="J9" s="40" t="s">
        <v>65</v>
      </c>
    </row>
    <row r="10" customFormat="false" ht="27.75" hidden="false" customHeight="true" outlineLevel="0" collapsed="false">
      <c r="A10" s="33" t="s">
        <v>66</v>
      </c>
      <c r="B10" s="33" t="s">
        <v>59</v>
      </c>
      <c r="C10" s="33" t="s">
        <v>67</v>
      </c>
      <c r="D10" s="33" t="s">
        <v>61</v>
      </c>
      <c r="E10" s="34" t="n">
        <v>15</v>
      </c>
      <c r="F10" s="34" t="n">
        <v>14</v>
      </c>
      <c r="G10" s="35"/>
      <c r="H10" s="36"/>
      <c r="J10" s="37" t="s">
        <v>68</v>
      </c>
    </row>
    <row r="11" customFormat="false" ht="27.75" hidden="false" customHeight="true" outlineLevel="0" collapsed="false">
      <c r="A11" s="38" t="s">
        <v>69</v>
      </c>
      <c r="B11" s="38" t="s">
        <v>59</v>
      </c>
      <c r="C11" s="38" t="s">
        <v>70</v>
      </c>
      <c r="D11" s="38" t="s">
        <v>61</v>
      </c>
      <c r="E11" s="39" t="n">
        <v>30</v>
      </c>
      <c r="F11" s="39" t="n">
        <v>32</v>
      </c>
      <c r="G11" s="35"/>
      <c r="H11" s="36"/>
      <c r="J11" s="40" t="s">
        <v>71</v>
      </c>
    </row>
    <row r="12" customFormat="false" ht="27.75" hidden="false" customHeight="true" outlineLevel="0" collapsed="false">
      <c r="A12" s="33" t="s">
        <v>72</v>
      </c>
      <c r="B12" s="33" t="s">
        <v>73</v>
      </c>
      <c r="C12" s="33" t="s">
        <v>60</v>
      </c>
      <c r="D12" s="33" t="s">
        <v>61</v>
      </c>
      <c r="E12" s="34" t="n">
        <v>18</v>
      </c>
      <c r="F12" s="34" t="n">
        <v>16</v>
      </c>
      <c r="G12" s="35"/>
      <c r="H12" s="36"/>
      <c r="J12" s="32" t="s">
        <v>74</v>
      </c>
    </row>
    <row r="13" customFormat="false" ht="27.75" hidden="false" customHeight="true" outlineLevel="0" collapsed="false">
      <c r="A13" s="38" t="s">
        <v>75</v>
      </c>
      <c r="B13" s="38" t="s">
        <v>73</v>
      </c>
      <c r="C13" s="38" t="s">
        <v>64</v>
      </c>
      <c r="D13" s="38" t="s">
        <v>61</v>
      </c>
      <c r="E13" s="39" t="n">
        <v>22</v>
      </c>
      <c r="F13" s="39" t="n">
        <v>20</v>
      </c>
      <c r="G13" s="35"/>
      <c r="H13" s="36"/>
      <c r="J13" s="40" t="s">
        <v>76</v>
      </c>
    </row>
    <row r="14" customFormat="false" ht="27.75" hidden="false" customHeight="true" outlineLevel="0" collapsed="false">
      <c r="A14" s="33" t="s">
        <v>77</v>
      </c>
      <c r="B14" s="33" t="s">
        <v>73</v>
      </c>
      <c r="C14" s="33" t="s">
        <v>67</v>
      </c>
      <c r="D14" s="33" t="s">
        <v>61</v>
      </c>
      <c r="E14" s="34" t="n">
        <v>25</v>
      </c>
      <c r="F14" s="34" t="n">
        <v>18</v>
      </c>
      <c r="G14" s="35"/>
      <c r="H14" s="36"/>
      <c r="J14" s="41" t="str">
        <f aca="false">IF(G8&gt;=100,"On Track",IF(G8&gt;=80,"Watch","Below Target"))</f>
        <v>Below Target</v>
      </c>
    </row>
    <row r="15" customFormat="false" ht="27.75" hidden="false" customHeight="true" outlineLevel="0" collapsed="false">
      <c r="A15" s="38" t="s">
        <v>78</v>
      </c>
      <c r="B15" s="38" t="s">
        <v>73</v>
      </c>
      <c r="C15" s="38" t="s">
        <v>70</v>
      </c>
      <c r="D15" s="38" t="s">
        <v>61</v>
      </c>
      <c r="E15" s="39" t="n">
        <v>28</v>
      </c>
      <c r="F15" s="39" t="n">
        <v>30</v>
      </c>
      <c r="G15" s="35"/>
      <c r="H15" s="36"/>
      <c r="J15" s="40" t="s">
        <v>79</v>
      </c>
    </row>
    <row r="16" customFormat="false" ht="27.75" hidden="false" customHeight="true" outlineLevel="0" collapsed="false">
      <c r="A16" s="33" t="s">
        <v>80</v>
      </c>
      <c r="B16" s="33" t="s">
        <v>81</v>
      </c>
      <c r="C16" s="33" t="s">
        <v>60</v>
      </c>
      <c r="D16" s="33" t="s">
        <v>61</v>
      </c>
      <c r="E16" s="34" t="n">
        <v>20</v>
      </c>
      <c r="F16" s="34" t="n">
        <v>21</v>
      </c>
      <c r="G16" s="35"/>
      <c r="H16" s="36"/>
      <c r="J16" s="37" t="s">
        <v>82</v>
      </c>
    </row>
    <row r="17" customFormat="false" ht="27.75" hidden="false" customHeight="true" outlineLevel="0" collapsed="false">
      <c r="A17" s="38" t="s">
        <v>83</v>
      </c>
      <c r="B17" s="38" t="s">
        <v>81</v>
      </c>
      <c r="C17" s="38" t="s">
        <v>64</v>
      </c>
      <c r="D17" s="38" t="s">
        <v>61</v>
      </c>
      <c r="E17" s="39" t="n">
        <v>35</v>
      </c>
      <c r="F17" s="39" t="n">
        <v>40</v>
      </c>
      <c r="G17" s="35"/>
      <c r="H17" s="36"/>
      <c r="J17" s="32" t="s">
        <v>84</v>
      </c>
    </row>
    <row r="18" customFormat="false" ht="27.75" hidden="false" customHeight="true" outlineLevel="0" collapsed="false">
      <c r="A18" s="33" t="s">
        <v>85</v>
      </c>
      <c r="B18" s="33" t="s">
        <v>81</v>
      </c>
      <c r="C18" s="33" t="s">
        <v>67</v>
      </c>
      <c r="D18" s="33" t="s">
        <v>61</v>
      </c>
      <c r="E18" s="34" t="n">
        <v>20</v>
      </c>
      <c r="F18" s="34" t="n">
        <v>19</v>
      </c>
      <c r="G18" s="35"/>
      <c r="H18" s="36"/>
      <c r="J18" s="37" t="s">
        <v>86</v>
      </c>
    </row>
    <row r="19" customFormat="false" ht="27.75" hidden="false" customHeight="true" outlineLevel="0" collapsed="false">
      <c r="A19" s="38" t="s">
        <v>87</v>
      </c>
      <c r="B19" s="38" t="s">
        <v>81</v>
      </c>
      <c r="C19" s="38" t="s">
        <v>70</v>
      </c>
      <c r="D19" s="38" t="s">
        <v>61</v>
      </c>
      <c r="E19" s="39" t="n">
        <v>25</v>
      </c>
      <c r="F19" s="39" t="n">
        <v>27</v>
      </c>
      <c r="G19" s="35"/>
      <c r="H19" s="36"/>
      <c r="J19" s="40" t="s">
        <v>88</v>
      </c>
    </row>
    <row r="20" customFormat="false" ht="27.75" hidden="false" customHeight="true" outlineLevel="0" collapsed="false">
      <c r="A20" s="33" t="s">
        <v>89</v>
      </c>
      <c r="B20" s="33" t="s">
        <v>90</v>
      </c>
      <c r="C20" s="33" t="s">
        <v>60</v>
      </c>
      <c r="D20" s="33" t="s">
        <v>61</v>
      </c>
      <c r="E20" s="34" t="n">
        <v>22</v>
      </c>
      <c r="F20" s="34" t="n">
        <v>24</v>
      </c>
      <c r="G20" s="35"/>
      <c r="H20" s="36"/>
      <c r="J20" s="37" t="s">
        <v>91</v>
      </c>
    </row>
    <row r="21" customFormat="false" ht="27.75" hidden="false" customHeight="true" outlineLevel="0" collapsed="false">
      <c r="A21" s="38" t="s">
        <v>92</v>
      </c>
      <c r="B21" s="38" t="s">
        <v>90</v>
      </c>
      <c r="C21" s="38" t="s">
        <v>64</v>
      </c>
      <c r="D21" s="38" t="s">
        <v>61</v>
      </c>
      <c r="E21" s="39" t="n">
        <v>30</v>
      </c>
      <c r="F21" s="39" t="n">
        <v>28</v>
      </c>
      <c r="G21" s="35"/>
      <c r="H21" s="36"/>
      <c r="J21" s="40" t="s">
        <v>93</v>
      </c>
    </row>
    <row r="22" customFormat="false" ht="27.75" hidden="false" customHeight="true" outlineLevel="0" collapsed="false">
      <c r="A22" s="33" t="s">
        <v>94</v>
      </c>
      <c r="B22" s="33" t="s">
        <v>90</v>
      </c>
      <c r="C22" s="33" t="s">
        <v>67</v>
      </c>
      <c r="D22" s="33" t="s">
        <v>61</v>
      </c>
      <c r="E22" s="34" t="n">
        <v>18</v>
      </c>
      <c r="F22" s="34" t="n">
        <v>20</v>
      </c>
      <c r="G22" s="35"/>
      <c r="H22" s="36"/>
      <c r="J22" s="32" t="s">
        <v>95</v>
      </c>
    </row>
    <row r="23" customFormat="false" ht="27.75" hidden="false" customHeight="true" outlineLevel="0" collapsed="false">
      <c r="A23" s="38" t="s">
        <v>96</v>
      </c>
      <c r="B23" s="38" t="s">
        <v>90</v>
      </c>
      <c r="C23" s="38" t="s">
        <v>70</v>
      </c>
      <c r="D23" s="38" t="s">
        <v>61</v>
      </c>
      <c r="E23" s="39" t="n">
        <v>26</v>
      </c>
      <c r="F23" s="39" t="n">
        <v>25</v>
      </c>
      <c r="G23" s="35"/>
      <c r="H23" s="36"/>
      <c r="J23" s="32" t="s">
        <v>97</v>
      </c>
    </row>
    <row r="24" customFormat="false" ht="15.75" hidden="false" customHeight="true" outlineLevel="0" collapsed="false">
      <c r="A24" s="33" t="s">
        <v>98</v>
      </c>
      <c r="B24" s="33" t="s">
        <v>99</v>
      </c>
      <c r="C24" s="33" t="s">
        <v>60</v>
      </c>
      <c r="D24" s="33" t="s">
        <v>61</v>
      </c>
      <c r="E24" s="34" t="n">
        <v>24</v>
      </c>
      <c r="F24" s="34" t="n">
        <v>23</v>
      </c>
      <c r="G24" s="35"/>
      <c r="H24" s="36"/>
    </row>
    <row r="25" customFormat="false" ht="15.75" hidden="false" customHeight="true" outlineLevel="0" collapsed="false">
      <c r="A25" s="38" t="s">
        <v>100</v>
      </c>
      <c r="B25" s="38" t="s">
        <v>99</v>
      </c>
      <c r="C25" s="38" t="s">
        <v>64</v>
      </c>
      <c r="D25" s="38" t="s">
        <v>61</v>
      </c>
      <c r="E25" s="39" t="n">
        <v>28</v>
      </c>
      <c r="F25" s="39" t="n">
        <v>27</v>
      </c>
      <c r="G25" s="35"/>
      <c r="H25" s="36"/>
    </row>
    <row r="26" customFormat="false" ht="15.75" hidden="false" customHeight="true" outlineLevel="0" collapsed="false">
      <c r="A26" s="33" t="s">
        <v>101</v>
      </c>
      <c r="B26" s="33" t="s">
        <v>99</v>
      </c>
      <c r="C26" s="33" t="s">
        <v>67</v>
      </c>
      <c r="D26" s="33" t="s">
        <v>61</v>
      </c>
      <c r="E26" s="34" t="n">
        <v>22</v>
      </c>
      <c r="F26" s="34" t="n">
        <v>21</v>
      </c>
      <c r="G26" s="35"/>
      <c r="H26" s="36"/>
    </row>
    <row r="27" customFormat="false" ht="15.75" hidden="false" customHeight="true" outlineLevel="0" collapsed="false">
      <c r="A27" s="38" t="s">
        <v>102</v>
      </c>
      <c r="B27" s="38" t="s">
        <v>99</v>
      </c>
      <c r="C27" s="38" t="s">
        <v>70</v>
      </c>
      <c r="D27" s="38" t="s">
        <v>61</v>
      </c>
      <c r="E27" s="39" t="n">
        <v>30</v>
      </c>
      <c r="F27" s="39" t="n">
        <v>26</v>
      </c>
      <c r="G27" s="35"/>
      <c r="H27" s="36"/>
    </row>
    <row r="28" customFormat="false" ht="15.75" hidden="false" customHeight="true" outlineLevel="0" collapsed="false">
      <c r="A28" s="33" t="s">
        <v>103</v>
      </c>
      <c r="B28" s="33" t="s">
        <v>59</v>
      </c>
      <c r="C28" s="33" t="s">
        <v>60</v>
      </c>
      <c r="D28" s="33" t="s">
        <v>104</v>
      </c>
      <c r="E28" s="34" t="n">
        <v>22</v>
      </c>
      <c r="F28" s="34" t="n">
        <v>23</v>
      </c>
      <c r="G28" s="35"/>
      <c r="H28" s="36"/>
    </row>
    <row r="29" customFormat="false" ht="15.75" hidden="false" customHeight="true" outlineLevel="0" collapsed="false">
      <c r="A29" s="38" t="s">
        <v>105</v>
      </c>
      <c r="B29" s="38" t="s">
        <v>59</v>
      </c>
      <c r="C29" s="38" t="s">
        <v>64</v>
      </c>
      <c r="D29" s="38" t="s">
        <v>104</v>
      </c>
      <c r="E29" s="39" t="n">
        <v>26</v>
      </c>
      <c r="F29" s="39" t="n">
        <v>27</v>
      </c>
      <c r="G29" s="35"/>
      <c r="H29" s="36"/>
    </row>
    <row r="30" customFormat="false" ht="15.75" hidden="false" customHeight="true" outlineLevel="0" collapsed="false">
      <c r="A30" s="33" t="s">
        <v>106</v>
      </c>
      <c r="B30" s="33" t="s">
        <v>59</v>
      </c>
      <c r="C30" s="33" t="s">
        <v>67</v>
      </c>
      <c r="D30" s="33" t="s">
        <v>104</v>
      </c>
      <c r="E30" s="34" t="n">
        <v>16</v>
      </c>
      <c r="F30" s="34" t="n">
        <v>15</v>
      </c>
      <c r="G30" s="35"/>
      <c r="H30" s="36"/>
    </row>
    <row r="31" customFormat="false" ht="15.75" hidden="false" customHeight="true" outlineLevel="0" collapsed="false">
      <c r="A31" s="38" t="s">
        <v>107</v>
      </c>
      <c r="B31" s="38" t="s">
        <v>59</v>
      </c>
      <c r="C31" s="38" t="s">
        <v>70</v>
      </c>
      <c r="D31" s="38" t="s">
        <v>104</v>
      </c>
      <c r="E31" s="39" t="n">
        <v>32</v>
      </c>
      <c r="F31" s="39" t="n">
        <v>34</v>
      </c>
      <c r="G31" s="35"/>
      <c r="H31" s="36"/>
    </row>
    <row r="32" customFormat="false" ht="15.75" hidden="false" customHeight="true" outlineLevel="0" collapsed="false">
      <c r="A32" s="33" t="s">
        <v>108</v>
      </c>
      <c r="B32" s="33" t="s">
        <v>73</v>
      </c>
      <c r="C32" s="33" t="s">
        <v>60</v>
      </c>
      <c r="D32" s="33" t="s">
        <v>104</v>
      </c>
      <c r="E32" s="34" t="n">
        <v>19</v>
      </c>
      <c r="F32" s="34" t="n">
        <v>17</v>
      </c>
      <c r="G32" s="35"/>
      <c r="H32" s="36"/>
    </row>
    <row r="33" customFormat="false" ht="15.75" hidden="false" customHeight="true" outlineLevel="0" collapsed="false">
      <c r="A33" s="38" t="s">
        <v>109</v>
      </c>
      <c r="B33" s="38" t="s">
        <v>73</v>
      </c>
      <c r="C33" s="38" t="s">
        <v>64</v>
      </c>
      <c r="D33" s="38" t="s">
        <v>104</v>
      </c>
      <c r="E33" s="39" t="n">
        <v>23</v>
      </c>
      <c r="F33" s="39" t="n">
        <v>21</v>
      </c>
      <c r="G33" s="35"/>
      <c r="H33" s="36"/>
    </row>
    <row r="34" customFormat="false" ht="15.75" hidden="false" customHeight="true" outlineLevel="0" collapsed="false">
      <c r="A34" s="33" t="s">
        <v>110</v>
      </c>
      <c r="B34" s="33" t="s">
        <v>73</v>
      </c>
      <c r="C34" s="33" t="s">
        <v>67</v>
      </c>
      <c r="D34" s="33" t="s">
        <v>104</v>
      </c>
      <c r="E34" s="34" t="n">
        <v>26</v>
      </c>
      <c r="F34" s="34" t="n">
        <v>20</v>
      </c>
      <c r="G34" s="35"/>
      <c r="H34" s="36"/>
    </row>
    <row r="35" customFormat="false" ht="15.75" hidden="false" customHeight="true" outlineLevel="0" collapsed="false">
      <c r="A35" s="38" t="s">
        <v>111</v>
      </c>
      <c r="B35" s="38" t="s">
        <v>73</v>
      </c>
      <c r="C35" s="38" t="s">
        <v>70</v>
      </c>
      <c r="D35" s="38" t="s">
        <v>104</v>
      </c>
      <c r="E35" s="39" t="n">
        <v>29</v>
      </c>
      <c r="F35" s="39" t="n">
        <v>31</v>
      </c>
      <c r="G35" s="35"/>
      <c r="H35" s="36"/>
    </row>
    <row r="36" customFormat="false" ht="15.75" hidden="false" customHeight="true" outlineLevel="0" collapsed="false">
      <c r="A36" s="33" t="s">
        <v>112</v>
      </c>
      <c r="B36" s="33" t="s">
        <v>81</v>
      </c>
      <c r="C36" s="33" t="s">
        <v>60</v>
      </c>
      <c r="D36" s="33" t="s">
        <v>104</v>
      </c>
      <c r="E36" s="34" t="n">
        <v>21</v>
      </c>
      <c r="F36" s="34" t="n">
        <v>22</v>
      </c>
      <c r="G36" s="35"/>
      <c r="H36" s="36"/>
    </row>
    <row r="37" customFormat="false" ht="15.75" hidden="false" customHeight="true" outlineLevel="0" collapsed="false">
      <c r="A37" s="38" t="s">
        <v>113</v>
      </c>
      <c r="B37" s="38" t="s">
        <v>81</v>
      </c>
      <c r="C37" s="38" t="s">
        <v>64</v>
      </c>
      <c r="D37" s="38" t="s">
        <v>104</v>
      </c>
      <c r="E37" s="39" t="n">
        <v>36</v>
      </c>
      <c r="F37" s="39" t="n">
        <v>42</v>
      </c>
      <c r="G37" s="35"/>
      <c r="H37" s="36"/>
    </row>
    <row r="38" customFormat="false" ht="15.75" hidden="false" customHeight="true" outlineLevel="0" collapsed="false">
      <c r="A38" s="33" t="s">
        <v>114</v>
      </c>
      <c r="B38" s="33" t="s">
        <v>81</v>
      </c>
      <c r="C38" s="33" t="s">
        <v>67</v>
      </c>
      <c r="D38" s="33" t="s">
        <v>104</v>
      </c>
      <c r="E38" s="34" t="n">
        <v>21</v>
      </c>
      <c r="F38" s="34" t="n">
        <v>20</v>
      </c>
      <c r="G38" s="35"/>
      <c r="H38" s="36"/>
    </row>
    <row r="39" customFormat="false" ht="15.75" hidden="false" customHeight="true" outlineLevel="0" collapsed="false">
      <c r="A39" s="38" t="s">
        <v>115</v>
      </c>
      <c r="B39" s="38" t="s">
        <v>81</v>
      </c>
      <c r="C39" s="38" t="s">
        <v>70</v>
      </c>
      <c r="D39" s="38" t="s">
        <v>104</v>
      </c>
      <c r="E39" s="39" t="n">
        <v>26</v>
      </c>
      <c r="F39" s="39" t="n">
        <v>28</v>
      </c>
      <c r="G39" s="35"/>
      <c r="H39" s="36"/>
    </row>
    <row r="40" customFormat="false" ht="15.75" hidden="false" customHeight="true" outlineLevel="0" collapsed="false">
      <c r="A40" s="33" t="s">
        <v>116</v>
      </c>
      <c r="B40" s="33" t="s">
        <v>90</v>
      </c>
      <c r="C40" s="33" t="s">
        <v>60</v>
      </c>
      <c r="D40" s="33" t="s">
        <v>104</v>
      </c>
      <c r="E40" s="34" t="n">
        <v>23</v>
      </c>
      <c r="F40" s="34" t="n">
        <v>25</v>
      </c>
      <c r="G40" s="35"/>
      <c r="H40" s="36"/>
    </row>
    <row r="41" customFormat="false" ht="15.75" hidden="false" customHeight="true" outlineLevel="0" collapsed="false">
      <c r="A41" s="38" t="s">
        <v>117</v>
      </c>
      <c r="B41" s="38" t="s">
        <v>90</v>
      </c>
      <c r="C41" s="38" t="s">
        <v>64</v>
      </c>
      <c r="D41" s="38" t="s">
        <v>104</v>
      </c>
      <c r="E41" s="39" t="n">
        <v>31</v>
      </c>
      <c r="F41" s="39" t="n">
        <v>29</v>
      </c>
      <c r="G41" s="35"/>
      <c r="H41" s="36"/>
    </row>
    <row r="42" customFormat="false" ht="15.75" hidden="false" customHeight="true" outlineLevel="0" collapsed="false">
      <c r="A42" s="33" t="s">
        <v>118</v>
      </c>
      <c r="B42" s="33" t="s">
        <v>90</v>
      </c>
      <c r="C42" s="33" t="s">
        <v>67</v>
      </c>
      <c r="D42" s="33" t="s">
        <v>104</v>
      </c>
      <c r="E42" s="34" t="n">
        <v>19</v>
      </c>
      <c r="F42" s="34" t="n">
        <v>21</v>
      </c>
      <c r="G42" s="35"/>
      <c r="H42" s="36"/>
    </row>
    <row r="43" customFormat="false" ht="15.75" hidden="false" customHeight="true" outlineLevel="0" collapsed="false">
      <c r="A43" s="38" t="s">
        <v>119</v>
      </c>
      <c r="B43" s="38" t="s">
        <v>90</v>
      </c>
      <c r="C43" s="38" t="s">
        <v>70</v>
      </c>
      <c r="D43" s="38" t="s">
        <v>104</v>
      </c>
      <c r="E43" s="39" t="n">
        <v>27</v>
      </c>
      <c r="F43" s="39" t="n">
        <v>26</v>
      </c>
      <c r="G43" s="35"/>
      <c r="H43" s="36"/>
    </row>
    <row r="44" customFormat="false" ht="15.75" hidden="false" customHeight="true" outlineLevel="0" collapsed="false">
      <c r="A44" s="33" t="s">
        <v>120</v>
      </c>
      <c r="B44" s="33" t="s">
        <v>99</v>
      </c>
      <c r="C44" s="33" t="s">
        <v>60</v>
      </c>
      <c r="D44" s="33" t="s">
        <v>104</v>
      </c>
      <c r="E44" s="34" t="n">
        <v>25</v>
      </c>
      <c r="F44" s="34" t="n">
        <v>24</v>
      </c>
      <c r="G44" s="35"/>
      <c r="H44" s="36"/>
    </row>
    <row r="45" customFormat="false" ht="15.75" hidden="false" customHeight="true" outlineLevel="0" collapsed="false">
      <c r="A45" s="38" t="s">
        <v>121</v>
      </c>
      <c r="B45" s="38" t="s">
        <v>99</v>
      </c>
      <c r="C45" s="38" t="s">
        <v>64</v>
      </c>
      <c r="D45" s="38" t="s">
        <v>104</v>
      </c>
      <c r="E45" s="39" t="n">
        <v>29</v>
      </c>
      <c r="F45" s="39" t="n">
        <v>28</v>
      </c>
      <c r="G45" s="35"/>
      <c r="H45" s="36"/>
    </row>
    <row r="46" customFormat="false" ht="15.75" hidden="false" customHeight="true" outlineLevel="0" collapsed="false">
      <c r="A46" s="33" t="s">
        <v>122</v>
      </c>
      <c r="B46" s="33" t="s">
        <v>99</v>
      </c>
      <c r="C46" s="33" t="s">
        <v>67</v>
      </c>
      <c r="D46" s="33" t="s">
        <v>104</v>
      </c>
      <c r="E46" s="34" t="n">
        <v>23</v>
      </c>
      <c r="F46" s="34" t="n">
        <v>22</v>
      </c>
      <c r="G46" s="35"/>
      <c r="H46" s="36"/>
    </row>
    <row r="47" customFormat="false" ht="15.75" hidden="false" customHeight="true" outlineLevel="0" collapsed="false">
      <c r="A47" s="38" t="s">
        <v>123</v>
      </c>
      <c r="B47" s="38" t="s">
        <v>99</v>
      </c>
      <c r="C47" s="38" t="s">
        <v>70</v>
      </c>
      <c r="D47" s="38" t="s">
        <v>104</v>
      </c>
      <c r="E47" s="39" t="n">
        <v>31</v>
      </c>
      <c r="F47" s="39" t="n">
        <v>27</v>
      </c>
      <c r="G47" s="35"/>
      <c r="H47" s="36"/>
    </row>
    <row r="48" customFormat="false" ht="15.75" hidden="false" customHeight="true" outlineLevel="0" collapsed="false">
      <c r="A48" s="33" t="s">
        <v>124</v>
      </c>
      <c r="B48" s="33" t="s">
        <v>59</v>
      </c>
      <c r="C48" s="33" t="s">
        <v>60</v>
      </c>
      <c r="D48" s="33" t="s">
        <v>125</v>
      </c>
      <c r="E48" s="34" t="n">
        <v>23</v>
      </c>
      <c r="F48" s="34" t="n">
        <v>24</v>
      </c>
      <c r="G48" s="35"/>
      <c r="H48" s="36"/>
    </row>
    <row r="49" customFormat="false" ht="15.75" hidden="false" customHeight="true" outlineLevel="0" collapsed="false">
      <c r="A49" s="38" t="s">
        <v>126</v>
      </c>
      <c r="B49" s="38" t="s">
        <v>59</v>
      </c>
      <c r="C49" s="38" t="s">
        <v>64</v>
      </c>
      <c r="D49" s="38" t="s">
        <v>125</v>
      </c>
      <c r="E49" s="39" t="n">
        <v>27</v>
      </c>
      <c r="F49" s="39" t="n">
        <v>29</v>
      </c>
      <c r="G49" s="35"/>
      <c r="H49" s="36"/>
    </row>
    <row r="50" customFormat="false" ht="15.75" hidden="false" customHeight="true" outlineLevel="0" collapsed="false">
      <c r="A50" s="33" t="s">
        <v>127</v>
      </c>
      <c r="B50" s="33" t="s">
        <v>59</v>
      </c>
      <c r="C50" s="33" t="s">
        <v>67</v>
      </c>
      <c r="D50" s="33" t="s">
        <v>125</v>
      </c>
      <c r="E50" s="34" t="n">
        <v>17</v>
      </c>
      <c r="F50" s="34" t="n">
        <v>16</v>
      </c>
      <c r="G50" s="35"/>
      <c r="H50" s="36"/>
    </row>
    <row r="51" customFormat="false" ht="15.75" hidden="false" customHeight="true" outlineLevel="0" collapsed="false">
      <c r="A51" s="38" t="s">
        <v>128</v>
      </c>
      <c r="B51" s="38" t="s">
        <v>59</v>
      </c>
      <c r="C51" s="38" t="s">
        <v>70</v>
      </c>
      <c r="D51" s="38" t="s">
        <v>125</v>
      </c>
      <c r="E51" s="39" t="n">
        <v>33</v>
      </c>
      <c r="F51" s="39" t="n">
        <v>35</v>
      </c>
      <c r="G51" s="35"/>
      <c r="H51" s="36"/>
    </row>
    <row r="52" customFormat="false" ht="15.75" hidden="false" customHeight="true" outlineLevel="0" collapsed="false">
      <c r="A52" s="33" t="s">
        <v>129</v>
      </c>
      <c r="B52" s="33" t="s">
        <v>73</v>
      </c>
      <c r="C52" s="33" t="s">
        <v>60</v>
      </c>
      <c r="D52" s="33" t="s">
        <v>125</v>
      </c>
      <c r="E52" s="34" t="n">
        <v>20</v>
      </c>
      <c r="F52" s="34" t="n">
        <v>18</v>
      </c>
      <c r="G52" s="35"/>
      <c r="H52" s="36"/>
    </row>
    <row r="53" customFormat="false" ht="15.75" hidden="false" customHeight="true" outlineLevel="0" collapsed="false">
      <c r="A53" s="38" t="s">
        <v>130</v>
      </c>
      <c r="B53" s="38" t="s">
        <v>73</v>
      </c>
      <c r="C53" s="38" t="s">
        <v>64</v>
      </c>
      <c r="D53" s="38" t="s">
        <v>125</v>
      </c>
      <c r="E53" s="39" t="n">
        <v>24</v>
      </c>
      <c r="F53" s="39" t="n">
        <v>22</v>
      </c>
      <c r="G53" s="35"/>
      <c r="H53" s="36"/>
    </row>
    <row r="54" customFormat="false" ht="15.75" hidden="false" customHeight="true" outlineLevel="0" collapsed="false">
      <c r="A54" s="33" t="s">
        <v>131</v>
      </c>
      <c r="B54" s="33" t="s">
        <v>73</v>
      </c>
      <c r="C54" s="33" t="s">
        <v>67</v>
      </c>
      <c r="D54" s="33" t="s">
        <v>125</v>
      </c>
      <c r="E54" s="34" t="n">
        <v>27</v>
      </c>
      <c r="F54" s="34" t="n">
        <v>21</v>
      </c>
      <c r="G54" s="35"/>
      <c r="H54" s="36"/>
    </row>
    <row r="55" customFormat="false" ht="15.75" hidden="false" customHeight="true" outlineLevel="0" collapsed="false">
      <c r="A55" s="38" t="s">
        <v>132</v>
      </c>
      <c r="B55" s="38" t="s">
        <v>73</v>
      </c>
      <c r="C55" s="38" t="s">
        <v>70</v>
      </c>
      <c r="D55" s="38" t="s">
        <v>125</v>
      </c>
      <c r="E55" s="39" t="n">
        <v>30</v>
      </c>
      <c r="F55" s="39" t="n">
        <v>32</v>
      </c>
      <c r="G55" s="35"/>
      <c r="H55" s="36"/>
    </row>
    <row r="56" customFormat="false" ht="15.75" hidden="false" customHeight="true" outlineLevel="0" collapsed="false">
      <c r="A56" s="33" t="s">
        <v>133</v>
      </c>
      <c r="B56" s="33" t="s">
        <v>81</v>
      </c>
      <c r="C56" s="33" t="s">
        <v>60</v>
      </c>
      <c r="D56" s="33" t="s">
        <v>125</v>
      </c>
      <c r="E56" s="34" t="n">
        <v>22</v>
      </c>
      <c r="F56" s="34" t="n">
        <v>23</v>
      </c>
      <c r="G56" s="35"/>
      <c r="H56" s="36"/>
    </row>
    <row r="57" customFormat="false" ht="15.75" hidden="false" customHeight="true" outlineLevel="0" collapsed="false">
      <c r="A57" s="38" t="s">
        <v>134</v>
      </c>
      <c r="B57" s="38" t="s">
        <v>81</v>
      </c>
      <c r="C57" s="38" t="s">
        <v>64</v>
      </c>
      <c r="D57" s="38" t="s">
        <v>125</v>
      </c>
      <c r="E57" s="39" t="n">
        <v>37</v>
      </c>
      <c r="F57" s="39" t="n">
        <v>43</v>
      </c>
      <c r="G57" s="35"/>
      <c r="H57" s="36"/>
    </row>
    <row r="58" customFormat="false" ht="15.75" hidden="false" customHeight="true" outlineLevel="0" collapsed="false">
      <c r="A58" s="33" t="s">
        <v>135</v>
      </c>
      <c r="B58" s="33" t="s">
        <v>81</v>
      </c>
      <c r="C58" s="33" t="s">
        <v>67</v>
      </c>
      <c r="D58" s="33" t="s">
        <v>125</v>
      </c>
      <c r="E58" s="34" t="n">
        <v>22</v>
      </c>
      <c r="F58" s="34" t="n">
        <v>21</v>
      </c>
      <c r="G58" s="35"/>
      <c r="H58" s="36"/>
    </row>
    <row r="59" customFormat="false" ht="15.75" hidden="false" customHeight="true" outlineLevel="0" collapsed="false">
      <c r="A59" s="38" t="s">
        <v>136</v>
      </c>
      <c r="B59" s="38" t="s">
        <v>81</v>
      </c>
      <c r="C59" s="38" t="s">
        <v>70</v>
      </c>
      <c r="D59" s="38" t="s">
        <v>125</v>
      </c>
      <c r="E59" s="39" t="n">
        <v>27</v>
      </c>
      <c r="F59" s="39" t="n">
        <v>29</v>
      </c>
      <c r="G59" s="35"/>
      <c r="H59" s="36"/>
    </row>
    <row r="60" customFormat="false" ht="15.75" hidden="false" customHeight="true" outlineLevel="0" collapsed="false">
      <c r="A60" s="33" t="s">
        <v>137</v>
      </c>
      <c r="B60" s="33" t="s">
        <v>90</v>
      </c>
      <c r="C60" s="33" t="s">
        <v>60</v>
      </c>
      <c r="D60" s="33" t="s">
        <v>125</v>
      </c>
      <c r="E60" s="34" t="n">
        <v>24</v>
      </c>
      <c r="F60" s="34" t="n">
        <v>26</v>
      </c>
      <c r="G60" s="35"/>
      <c r="H60" s="36"/>
    </row>
    <row r="61" customFormat="false" ht="15.75" hidden="false" customHeight="true" outlineLevel="0" collapsed="false">
      <c r="A61" s="38" t="s">
        <v>138</v>
      </c>
      <c r="B61" s="38" t="s">
        <v>90</v>
      </c>
      <c r="C61" s="38" t="s">
        <v>64</v>
      </c>
      <c r="D61" s="38" t="s">
        <v>125</v>
      </c>
      <c r="E61" s="39" t="n">
        <v>32</v>
      </c>
      <c r="F61" s="39" t="n">
        <v>30</v>
      </c>
      <c r="G61" s="35"/>
      <c r="H61" s="36"/>
    </row>
    <row r="62" customFormat="false" ht="15.75" hidden="false" customHeight="true" outlineLevel="0" collapsed="false">
      <c r="A62" s="33" t="s">
        <v>139</v>
      </c>
      <c r="B62" s="33" t="s">
        <v>90</v>
      </c>
      <c r="C62" s="33" t="s">
        <v>67</v>
      </c>
      <c r="D62" s="33" t="s">
        <v>125</v>
      </c>
      <c r="E62" s="34" t="n">
        <v>20</v>
      </c>
      <c r="F62" s="34" t="n">
        <v>22</v>
      </c>
      <c r="G62" s="35"/>
      <c r="H62" s="36"/>
    </row>
    <row r="63" customFormat="false" ht="15.75" hidden="false" customHeight="true" outlineLevel="0" collapsed="false">
      <c r="A63" s="38" t="s">
        <v>140</v>
      </c>
      <c r="B63" s="38" t="s">
        <v>90</v>
      </c>
      <c r="C63" s="38" t="s">
        <v>70</v>
      </c>
      <c r="D63" s="38" t="s">
        <v>125</v>
      </c>
      <c r="E63" s="39" t="n">
        <v>28</v>
      </c>
      <c r="F63" s="39" t="n">
        <v>27</v>
      </c>
      <c r="G63" s="35"/>
      <c r="H63" s="36"/>
    </row>
    <row r="64" customFormat="false" ht="15.75" hidden="false" customHeight="true" outlineLevel="0" collapsed="false">
      <c r="A64" s="33" t="s">
        <v>141</v>
      </c>
      <c r="B64" s="33" t="s">
        <v>99</v>
      </c>
      <c r="C64" s="33" t="s">
        <v>60</v>
      </c>
      <c r="D64" s="33" t="s">
        <v>125</v>
      </c>
      <c r="E64" s="34" t="n">
        <v>26</v>
      </c>
      <c r="F64" s="34" t="n">
        <v>25</v>
      </c>
      <c r="G64" s="35"/>
      <c r="H64" s="36"/>
    </row>
    <row r="65" customFormat="false" ht="15.75" hidden="false" customHeight="true" outlineLevel="0" collapsed="false">
      <c r="A65" s="38" t="s">
        <v>142</v>
      </c>
      <c r="B65" s="38" t="s">
        <v>99</v>
      </c>
      <c r="C65" s="38" t="s">
        <v>64</v>
      </c>
      <c r="D65" s="38" t="s">
        <v>125</v>
      </c>
      <c r="E65" s="39" t="n">
        <v>30</v>
      </c>
      <c r="F65" s="39" t="n">
        <v>29</v>
      </c>
      <c r="G65" s="35"/>
      <c r="H65" s="36"/>
    </row>
    <row r="66" customFormat="false" ht="15.75" hidden="false" customHeight="true" outlineLevel="0" collapsed="false">
      <c r="A66" s="33" t="s">
        <v>143</v>
      </c>
      <c r="B66" s="33" t="s">
        <v>99</v>
      </c>
      <c r="C66" s="33" t="s">
        <v>67</v>
      </c>
      <c r="D66" s="33" t="s">
        <v>125</v>
      </c>
      <c r="E66" s="34" t="n">
        <v>24</v>
      </c>
      <c r="F66" s="34" t="n">
        <v>23</v>
      </c>
      <c r="G66" s="35"/>
      <c r="H66" s="36"/>
    </row>
    <row r="67" customFormat="false" ht="15.75" hidden="false" customHeight="true" outlineLevel="0" collapsed="false">
      <c r="A67" s="38" t="s">
        <v>144</v>
      </c>
      <c r="B67" s="38" t="s">
        <v>99</v>
      </c>
      <c r="C67" s="38" t="s">
        <v>70</v>
      </c>
      <c r="D67" s="38" t="s">
        <v>125</v>
      </c>
      <c r="E67" s="39" t="n">
        <v>32</v>
      </c>
      <c r="F67" s="39" t="n">
        <v>28</v>
      </c>
      <c r="G67" s="35"/>
      <c r="H67" s="36"/>
    </row>
    <row r="68" customFormat="false" ht="15.75" hidden="false" customHeight="true" outlineLevel="0" collapsed="false">
      <c r="A68" s="33" t="s">
        <v>145</v>
      </c>
      <c r="B68" s="33" t="s">
        <v>59</v>
      </c>
      <c r="C68" s="33" t="s">
        <v>60</v>
      </c>
      <c r="D68" s="33" t="s">
        <v>146</v>
      </c>
      <c r="E68" s="34" t="n">
        <v>24</v>
      </c>
      <c r="F68" s="34" t="n">
        <v>25</v>
      </c>
      <c r="G68" s="35"/>
      <c r="H68" s="36"/>
    </row>
    <row r="69" customFormat="false" ht="15.75" hidden="false" customHeight="true" outlineLevel="0" collapsed="false">
      <c r="A69" s="38" t="s">
        <v>147</v>
      </c>
      <c r="B69" s="38" t="s">
        <v>59</v>
      </c>
      <c r="C69" s="38" t="s">
        <v>64</v>
      </c>
      <c r="D69" s="38" t="s">
        <v>146</v>
      </c>
      <c r="E69" s="39" t="n">
        <v>28</v>
      </c>
      <c r="F69" s="39" t="n">
        <v>30</v>
      </c>
      <c r="G69" s="35"/>
      <c r="H69" s="36"/>
    </row>
    <row r="70" customFormat="false" ht="15.75" hidden="false" customHeight="true" outlineLevel="0" collapsed="false">
      <c r="A70" s="33" t="s">
        <v>148</v>
      </c>
      <c r="B70" s="33" t="s">
        <v>59</v>
      </c>
      <c r="C70" s="33" t="s">
        <v>67</v>
      </c>
      <c r="D70" s="33" t="s">
        <v>146</v>
      </c>
      <c r="E70" s="34" t="n">
        <v>18</v>
      </c>
      <c r="F70" s="34" t="n">
        <v>17</v>
      </c>
      <c r="G70" s="35"/>
      <c r="H70" s="36"/>
    </row>
    <row r="71" customFormat="false" ht="15.75" hidden="false" customHeight="true" outlineLevel="0" collapsed="false">
      <c r="A71" s="38" t="s">
        <v>149</v>
      </c>
      <c r="B71" s="38" t="s">
        <v>59</v>
      </c>
      <c r="C71" s="38" t="s">
        <v>70</v>
      </c>
      <c r="D71" s="38" t="s">
        <v>146</v>
      </c>
      <c r="E71" s="39" t="n">
        <v>34</v>
      </c>
      <c r="F71" s="39" t="n">
        <v>36</v>
      </c>
      <c r="G71" s="35"/>
      <c r="H71" s="36"/>
    </row>
    <row r="72" customFormat="false" ht="15.75" hidden="false" customHeight="true" outlineLevel="0" collapsed="false">
      <c r="A72" s="33" t="s">
        <v>150</v>
      </c>
      <c r="B72" s="33" t="s">
        <v>73</v>
      </c>
      <c r="C72" s="33" t="s">
        <v>60</v>
      </c>
      <c r="D72" s="33" t="s">
        <v>146</v>
      </c>
      <c r="E72" s="34" t="n">
        <v>21</v>
      </c>
      <c r="F72" s="34" t="n">
        <v>19</v>
      </c>
      <c r="G72" s="35"/>
      <c r="H72" s="36"/>
    </row>
    <row r="73" customFormat="false" ht="15.75" hidden="false" customHeight="true" outlineLevel="0" collapsed="false">
      <c r="A73" s="38" t="s">
        <v>151</v>
      </c>
      <c r="B73" s="38" t="s">
        <v>73</v>
      </c>
      <c r="C73" s="38" t="s">
        <v>64</v>
      </c>
      <c r="D73" s="38" t="s">
        <v>146</v>
      </c>
      <c r="E73" s="39" t="n">
        <v>25</v>
      </c>
      <c r="F73" s="39" t="n">
        <v>23</v>
      </c>
      <c r="G73" s="35"/>
      <c r="H73" s="36"/>
    </row>
    <row r="74" customFormat="false" ht="15.75" hidden="false" customHeight="true" outlineLevel="0" collapsed="false">
      <c r="A74" s="33" t="s">
        <v>152</v>
      </c>
      <c r="B74" s="33" t="s">
        <v>73</v>
      </c>
      <c r="C74" s="33" t="s">
        <v>67</v>
      </c>
      <c r="D74" s="33" t="s">
        <v>146</v>
      </c>
      <c r="E74" s="34" t="n">
        <v>28</v>
      </c>
      <c r="F74" s="34" t="n">
        <v>22</v>
      </c>
      <c r="G74" s="35"/>
      <c r="H74" s="36"/>
    </row>
    <row r="75" customFormat="false" ht="15.75" hidden="false" customHeight="true" outlineLevel="0" collapsed="false">
      <c r="A75" s="38" t="s">
        <v>153</v>
      </c>
      <c r="B75" s="38" t="s">
        <v>73</v>
      </c>
      <c r="C75" s="38" t="s">
        <v>70</v>
      </c>
      <c r="D75" s="38" t="s">
        <v>146</v>
      </c>
      <c r="E75" s="39" t="n">
        <v>31</v>
      </c>
      <c r="F75" s="39" t="n">
        <v>33</v>
      </c>
      <c r="G75" s="35"/>
      <c r="H75" s="36"/>
    </row>
    <row r="76" customFormat="false" ht="15.75" hidden="false" customHeight="true" outlineLevel="0" collapsed="false">
      <c r="A76" s="33" t="s">
        <v>154</v>
      </c>
      <c r="B76" s="33" t="s">
        <v>81</v>
      </c>
      <c r="C76" s="33" t="s">
        <v>60</v>
      </c>
      <c r="D76" s="33" t="s">
        <v>146</v>
      </c>
      <c r="E76" s="34" t="n">
        <v>23</v>
      </c>
      <c r="F76" s="34" t="n">
        <v>24</v>
      </c>
      <c r="G76" s="35"/>
      <c r="H76" s="36"/>
    </row>
    <row r="77" customFormat="false" ht="15.75" hidden="false" customHeight="true" outlineLevel="0" collapsed="false">
      <c r="A77" s="38" t="s">
        <v>155</v>
      </c>
      <c r="B77" s="38" t="s">
        <v>81</v>
      </c>
      <c r="C77" s="38" t="s">
        <v>64</v>
      </c>
      <c r="D77" s="38" t="s">
        <v>146</v>
      </c>
      <c r="E77" s="39" t="n">
        <v>38</v>
      </c>
      <c r="F77" s="39" t="n">
        <v>44</v>
      </c>
      <c r="G77" s="35"/>
      <c r="H77" s="36"/>
    </row>
    <row r="78" customFormat="false" ht="15.75" hidden="false" customHeight="true" outlineLevel="0" collapsed="false">
      <c r="A78" s="33" t="s">
        <v>156</v>
      </c>
      <c r="B78" s="33" t="s">
        <v>81</v>
      </c>
      <c r="C78" s="33" t="s">
        <v>67</v>
      </c>
      <c r="D78" s="33" t="s">
        <v>146</v>
      </c>
      <c r="E78" s="34" t="n">
        <v>23</v>
      </c>
      <c r="F78" s="34" t="n">
        <v>22</v>
      </c>
      <c r="G78" s="35"/>
      <c r="H78" s="36"/>
    </row>
    <row r="79" customFormat="false" ht="15.75" hidden="false" customHeight="true" outlineLevel="0" collapsed="false">
      <c r="A79" s="38" t="s">
        <v>157</v>
      </c>
      <c r="B79" s="38" t="s">
        <v>81</v>
      </c>
      <c r="C79" s="38" t="s">
        <v>70</v>
      </c>
      <c r="D79" s="38" t="s">
        <v>146</v>
      </c>
      <c r="E79" s="39" t="n">
        <v>28</v>
      </c>
      <c r="F79" s="39" t="n">
        <v>30</v>
      </c>
      <c r="G79" s="35"/>
      <c r="H79" s="36"/>
    </row>
    <row r="80" customFormat="false" ht="15.75" hidden="false" customHeight="true" outlineLevel="0" collapsed="false">
      <c r="A80" s="33" t="s">
        <v>158</v>
      </c>
      <c r="B80" s="33" t="s">
        <v>90</v>
      </c>
      <c r="C80" s="33" t="s">
        <v>60</v>
      </c>
      <c r="D80" s="33" t="s">
        <v>146</v>
      </c>
      <c r="E80" s="34" t="n">
        <v>25</v>
      </c>
      <c r="F80" s="34" t="n">
        <v>27</v>
      </c>
      <c r="G80" s="35"/>
      <c r="H80" s="36"/>
    </row>
    <row r="81" customFormat="false" ht="15.75" hidden="false" customHeight="true" outlineLevel="0" collapsed="false">
      <c r="A81" s="38" t="s">
        <v>159</v>
      </c>
      <c r="B81" s="38" t="s">
        <v>90</v>
      </c>
      <c r="C81" s="38" t="s">
        <v>64</v>
      </c>
      <c r="D81" s="38" t="s">
        <v>146</v>
      </c>
      <c r="E81" s="39" t="n">
        <v>33</v>
      </c>
      <c r="F81" s="39" t="n">
        <v>31</v>
      </c>
      <c r="G81" s="35"/>
      <c r="H81" s="36"/>
    </row>
    <row r="82" customFormat="false" ht="15.75" hidden="false" customHeight="true" outlineLevel="0" collapsed="false">
      <c r="A82" s="33" t="s">
        <v>160</v>
      </c>
      <c r="B82" s="33" t="s">
        <v>90</v>
      </c>
      <c r="C82" s="33" t="s">
        <v>67</v>
      </c>
      <c r="D82" s="33" t="s">
        <v>146</v>
      </c>
      <c r="E82" s="34" t="n">
        <v>21</v>
      </c>
      <c r="F82" s="34" t="n">
        <v>23</v>
      </c>
      <c r="G82" s="35"/>
      <c r="H82" s="36"/>
    </row>
    <row r="83" customFormat="false" ht="15.75" hidden="false" customHeight="true" outlineLevel="0" collapsed="false">
      <c r="A83" s="38" t="s">
        <v>161</v>
      </c>
      <c r="B83" s="38" t="s">
        <v>90</v>
      </c>
      <c r="C83" s="38" t="s">
        <v>70</v>
      </c>
      <c r="D83" s="38" t="s">
        <v>146</v>
      </c>
      <c r="E83" s="39" t="n">
        <v>29</v>
      </c>
      <c r="F83" s="39" t="n">
        <v>28</v>
      </c>
      <c r="G83" s="35"/>
      <c r="H83" s="36"/>
    </row>
    <row r="84" customFormat="false" ht="15.75" hidden="false" customHeight="true" outlineLevel="0" collapsed="false">
      <c r="A84" s="33" t="s">
        <v>162</v>
      </c>
      <c r="B84" s="33" t="s">
        <v>99</v>
      </c>
      <c r="C84" s="33" t="s">
        <v>60</v>
      </c>
      <c r="D84" s="33" t="s">
        <v>146</v>
      </c>
      <c r="E84" s="34" t="n">
        <v>27</v>
      </c>
      <c r="F84" s="34" t="n">
        <v>26</v>
      </c>
      <c r="G84" s="35"/>
      <c r="H84" s="36"/>
    </row>
    <row r="85" customFormat="false" ht="15.75" hidden="false" customHeight="true" outlineLevel="0" collapsed="false">
      <c r="A85" s="38" t="s">
        <v>163</v>
      </c>
      <c r="B85" s="38" t="s">
        <v>99</v>
      </c>
      <c r="C85" s="38" t="s">
        <v>64</v>
      </c>
      <c r="D85" s="38" t="s">
        <v>146</v>
      </c>
      <c r="E85" s="39" t="n">
        <v>31</v>
      </c>
      <c r="F85" s="39" t="n">
        <v>30</v>
      </c>
      <c r="G85" s="35"/>
      <c r="H85" s="36"/>
    </row>
    <row r="86" customFormat="false" ht="15.75" hidden="false" customHeight="true" outlineLevel="0" collapsed="false">
      <c r="A86" s="33" t="s">
        <v>164</v>
      </c>
      <c r="B86" s="33" t="s">
        <v>99</v>
      </c>
      <c r="C86" s="33" t="s">
        <v>67</v>
      </c>
      <c r="D86" s="33" t="s">
        <v>146</v>
      </c>
      <c r="E86" s="34" t="n">
        <v>25</v>
      </c>
      <c r="F86" s="34" t="n">
        <v>24</v>
      </c>
      <c r="G86" s="35"/>
      <c r="H86" s="36"/>
    </row>
    <row r="87" customFormat="false" ht="15.75" hidden="false" customHeight="true" outlineLevel="0" collapsed="false">
      <c r="A87" s="38" t="s">
        <v>165</v>
      </c>
      <c r="B87" s="38" t="s">
        <v>99</v>
      </c>
      <c r="C87" s="38" t="s">
        <v>70</v>
      </c>
      <c r="D87" s="38" t="s">
        <v>146</v>
      </c>
      <c r="E87" s="39" t="n">
        <v>33</v>
      </c>
      <c r="F87" s="39" t="n">
        <v>29</v>
      </c>
      <c r="G87" s="35"/>
      <c r="H87" s="36"/>
    </row>
    <row r="88" customFormat="false" ht="15.75" hidden="false" customHeight="true" outlineLevel="0" collapsed="false">
      <c r="A88" s="33" t="s">
        <v>166</v>
      </c>
      <c r="B88" s="33" t="s">
        <v>59</v>
      </c>
      <c r="C88" s="33" t="s">
        <v>60</v>
      </c>
      <c r="D88" s="33" t="s">
        <v>167</v>
      </c>
      <c r="E88" s="34" t="n">
        <v>25</v>
      </c>
      <c r="F88" s="34" t="n">
        <v>26</v>
      </c>
      <c r="G88" s="35"/>
      <c r="H88" s="36"/>
    </row>
    <row r="89" customFormat="false" ht="15.75" hidden="false" customHeight="true" outlineLevel="0" collapsed="false">
      <c r="A89" s="38" t="s">
        <v>168</v>
      </c>
      <c r="B89" s="38" t="s">
        <v>59</v>
      </c>
      <c r="C89" s="38" t="s">
        <v>64</v>
      </c>
      <c r="D89" s="38" t="s">
        <v>167</v>
      </c>
      <c r="E89" s="39" t="n">
        <v>29</v>
      </c>
      <c r="F89" s="39" t="n">
        <v>31</v>
      </c>
      <c r="G89" s="35"/>
      <c r="H89" s="36"/>
    </row>
    <row r="90" customFormat="false" ht="15.75" hidden="false" customHeight="true" outlineLevel="0" collapsed="false">
      <c r="A90" s="33" t="s">
        <v>169</v>
      </c>
      <c r="B90" s="33" t="s">
        <v>59</v>
      </c>
      <c r="C90" s="33" t="s">
        <v>67</v>
      </c>
      <c r="D90" s="33" t="s">
        <v>167</v>
      </c>
      <c r="E90" s="34" t="n">
        <v>19</v>
      </c>
      <c r="F90" s="34" t="n">
        <v>18</v>
      </c>
      <c r="G90" s="35"/>
      <c r="H90" s="36"/>
    </row>
    <row r="91" customFormat="false" ht="15.75" hidden="false" customHeight="true" outlineLevel="0" collapsed="false">
      <c r="A91" s="38" t="s">
        <v>170</v>
      </c>
      <c r="B91" s="38" t="s">
        <v>59</v>
      </c>
      <c r="C91" s="38" t="s">
        <v>70</v>
      </c>
      <c r="D91" s="38" t="s">
        <v>167</v>
      </c>
      <c r="E91" s="39" t="n">
        <v>35</v>
      </c>
      <c r="F91" s="39" t="n">
        <v>37</v>
      </c>
      <c r="G91" s="35"/>
      <c r="H91" s="36"/>
    </row>
    <row r="92" customFormat="false" ht="15.75" hidden="false" customHeight="true" outlineLevel="0" collapsed="false">
      <c r="A92" s="33" t="s">
        <v>171</v>
      </c>
      <c r="B92" s="33" t="s">
        <v>73</v>
      </c>
      <c r="C92" s="33" t="s">
        <v>60</v>
      </c>
      <c r="D92" s="33" t="s">
        <v>167</v>
      </c>
      <c r="E92" s="34" t="n">
        <v>22</v>
      </c>
      <c r="F92" s="34" t="n">
        <v>20</v>
      </c>
      <c r="G92" s="35"/>
      <c r="H92" s="36"/>
    </row>
    <row r="93" customFormat="false" ht="15.75" hidden="false" customHeight="true" outlineLevel="0" collapsed="false">
      <c r="A93" s="38" t="s">
        <v>172</v>
      </c>
      <c r="B93" s="38" t="s">
        <v>73</v>
      </c>
      <c r="C93" s="38" t="s">
        <v>64</v>
      </c>
      <c r="D93" s="38" t="s">
        <v>167</v>
      </c>
      <c r="E93" s="39" t="n">
        <v>26</v>
      </c>
      <c r="F93" s="39" t="n">
        <v>24</v>
      </c>
      <c r="G93" s="35"/>
      <c r="H93" s="36"/>
    </row>
    <row r="94" customFormat="false" ht="15.75" hidden="false" customHeight="true" outlineLevel="0" collapsed="false">
      <c r="A94" s="33" t="s">
        <v>173</v>
      </c>
      <c r="B94" s="33" t="s">
        <v>73</v>
      </c>
      <c r="C94" s="33" t="s">
        <v>67</v>
      </c>
      <c r="D94" s="33" t="s">
        <v>167</v>
      </c>
      <c r="E94" s="34" t="n">
        <v>29</v>
      </c>
      <c r="F94" s="34" t="n">
        <v>23</v>
      </c>
      <c r="G94" s="35"/>
      <c r="H94" s="36"/>
    </row>
    <row r="95" customFormat="false" ht="15.75" hidden="false" customHeight="true" outlineLevel="0" collapsed="false">
      <c r="A95" s="38" t="s">
        <v>174</v>
      </c>
      <c r="B95" s="38" t="s">
        <v>73</v>
      </c>
      <c r="C95" s="38" t="s">
        <v>70</v>
      </c>
      <c r="D95" s="38" t="s">
        <v>167</v>
      </c>
      <c r="E95" s="39" t="n">
        <v>30</v>
      </c>
      <c r="F95" s="39" t="n">
        <v>32</v>
      </c>
      <c r="G95" s="35"/>
      <c r="H95" s="36"/>
    </row>
    <row r="96" customFormat="false" ht="15.75" hidden="false" customHeight="true" outlineLevel="0" collapsed="false">
      <c r="A96" s="33" t="s">
        <v>175</v>
      </c>
      <c r="B96" s="33" t="s">
        <v>81</v>
      </c>
      <c r="C96" s="33" t="s">
        <v>60</v>
      </c>
      <c r="D96" s="33" t="s">
        <v>167</v>
      </c>
      <c r="E96" s="34" t="n">
        <v>24</v>
      </c>
      <c r="F96" s="34" t="n">
        <v>25</v>
      </c>
      <c r="G96" s="35"/>
      <c r="H96" s="36"/>
    </row>
    <row r="97" customFormat="false" ht="15.75" hidden="false" customHeight="true" outlineLevel="0" collapsed="false">
      <c r="A97" s="38" t="s">
        <v>176</v>
      </c>
      <c r="B97" s="38" t="s">
        <v>81</v>
      </c>
      <c r="C97" s="38" t="s">
        <v>64</v>
      </c>
      <c r="D97" s="38" t="s">
        <v>167</v>
      </c>
      <c r="E97" s="39" t="n">
        <v>39</v>
      </c>
      <c r="F97" s="39" t="n">
        <v>45</v>
      </c>
      <c r="G97" s="35"/>
      <c r="H97" s="36"/>
    </row>
    <row r="98" customFormat="false" ht="15.75" hidden="false" customHeight="true" outlineLevel="0" collapsed="false">
      <c r="A98" s="33" t="s">
        <v>177</v>
      </c>
      <c r="B98" s="33" t="s">
        <v>81</v>
      </c>
      <c r="C98" s="33" t="s">
        <v>67</v>
      </c>
      <c r="D98" s="33" t="s">
        <v>167</v>
      </c>
      <c r="E98" s="34" t="n">
        <v>24</v>
      </c>
      <c r="F98" s="34" t="n">
        <v>23</v>
      </c>
      <c r="G98" s="35"/>
      <c r="H98" s="36"/>
    </row>
    <row r="99" customFormat="false" ht="15.75" hidden="false" customHeight="true" outlineLevel="0" collapsed="false">
      <c r="A99" s="38" t="s">
        <v>178</v>
      </c>
      <c r="B99" s="38" t="s">
        <v>81</v>
      </c>
      <c r="C99" s="38" t="s">
        <v>70</v>
      </c>
      <c r="D99" s="38" t="s">
        <v>167</v>
      </c>
      <c r="E99" s="39" t="n">
        <v>29</v>
      </c>
      <c r="F99" s="39" t="n">
        <v>31</v>
      </c>
      <c r="G99" s="35"/>
      <c r="H99" s="36"/>
    </row>
    <row r="100" customFormat="false" ht="15.75" hidden="false" customHeight="true" outlineLevel="0" collapsed="false">
      <c r="A100" s="33" t="s">
        <v>179</v>
      </c>
      <c r="B100" s="33" t="s">
        <v>90</v>
      </c>
      <c r="C100" s="33" t="s">
        <v>60</v>
      </c>
      <c r="D100" s="33" t="s">
        <v>167</v>
      </c>
      <c r="E100" s="34" t="n">
        <v>26</v>
      </c>
      <c r="F100" s="34" t="n">
        <v>28</v>
      </c>
      <c r="G100" s="35"/>
      <c r="H100" s="36"/>
    </row>
    <row r="101" customFormat="false" ht="15.75" hidden="false" customHeight="true" outlineLevel="0" collapsed="false">
      <c r="A101" s="38" t="s">
        <v>180</v>
      </c>
      <c r="B101" s="38" t="s">
        <v>90</v>
      </c>
      <c r="C101" s="38" t="s">
        <v>64</v>
      </c>
      <c r="D101" s="38" t="s">
        <v>167</v>
      </c>
      <c r="E101" s="39" t="n">
        <v>34</v>
      </c>
      <c r="F101" s="39" t="n">
        <v>32</v>
      </c>
      <c r="G101" s="35"/>
      <c r="H101" s="36"/>
    </row>
    <row r="102" customFormat="false" ht="15.75" hidden="false" customHeight="true" outlineLevel="0" collapsed="false">
      <c r="A102" s="33" t="s">
        <v>181</v>
      </c>
      <c r="B102" s="33" t="s">
        <v>90</v>
      </c>
      <c r="C102" s="33" t="s">
        <v>67</v>
      </c>
      <c r="D102" s="33" t="s">
        <v>167</v>
      </c>
      <c r="E102" s="34" t="n">
        <v>22</v>
      </c>
      <c r="F102" s="34" t="n">
        <v>24</v>
      </c>
      <c r="G102" s="35"/>
      <c r="H102" s="36"/>
    </row>
    <row r="103" customFormat="false" ht="15.75" hidden="false" customHeight="true" outlineLevel="0" collapsed="false">
      <c r="A103" s="38" t="s">
        <v>182</v>
      </c>
      <c r="B103" s="38" t="s">
        <v>90</v>
      </c>
      <c r="C103" s="38" t="s">
        <v>70</v>
      </c>
      <c r="D103" s="38" t="s">
        <v>167</v>
      </c>
      <c r="E103" s="39" t="n">
        <v>30</v>
      </c>
      <c r="F103" s="39" t="n">
        <v>29</v>
      </c>
      <c r="G103" s="35"/>
      <c r="H103" s="36"/>
    </row>
    <row r="104" customFormat="false" ht="15.75" hidden="false" customHeight="true" outlineLevel="0" collapsed="false">
      <c r="A104" s="33" t="s">
        <v>183</v>
      </c>
      <c r="B104" s="33" t="s">
        <v>99</v>
      </c>
      <c r="C104" s="33" t="s">
        <v>60</v>
      </c>
      <c r="D104" s="33" t="s">
        <v>167</v>
      </c>
      <c r="E104" s="34" t="n">
        <v>28</v>
      </c>
      <c r="F104" s="34" t="n">
        <v>27</v>
      </c>
      <c r="G104" s="35"/>
      <c r="H104" s="36"/>
    </row>
    <row r="105" customFormat="false" ht="15.75" hidden="false" customHeight="true" outlineLevel="0" collapsed="false">
      <c r="A105" s="38" t="s">
        <v>184</v>
      </c>
      <c r="B105" s="38" t="s">
        <v>99</v>
      </c>
      <c r="C105" s="38" t="s">
        <v>64</v>
      </c>
      <c r="D105" s="38" t="s">
        <v>167</v>
      </c>
      <c r="E105" s="39" t="n">
        <v>32</v>
      </c>
      <c r="F105" s="39" t="n">
        <v>31</v>
      </c>
      <c r="G105" s="35"/>
      <c r="H105" s="36"/>
    </row>
    <row r="106" customFormat="false" ht="15.75" hidden="false" customHeight="true" outlineLevel="0" collapsed="false">
      <c r="A106" s="33" t="s">
        <v>185</v>
      </c>
      <c r="B106" s="33" t="s">
        <v>99</v>
      </c>
      <c r="C106" s="33" t="s">
        <v>67</v>
      </c>
      <c r="D106" s="33" t="s">
        <v>167</v>
      </c>
      <c r="E106" s="34" t="n">
        <v>26</v>
      </c>
      <c r="F106" s="34" t="n">
        <v>25</v>
      </c>
      <c r="G106" s="35"/>
      <c r="H106" s="36"/>
    </row>
    <row r="107" customFormat="false" ht="15.75" hidden="false" customHeight="true" outlineLevel="0" collapsed="false">
      <c r="A107" s="38" t="s">
        <v>186</v>
      </c>
      <c r="B107" s="38" t="s">
        <v>99</v>
      </c>
      <c r="C107" s="38" t="s">
        <v>70</v>
      </c>
      <c r="D107" s="38" t="s">
        <v>167</v>
      </c>
      <c r="E107" s="39" t="n">
        <v>34</v>
      </c>
      <c r="F107" s="39" t="n">
        <v>30</v>
      </c>
      <c r="G107" s="35"/>
      <c r="H107" s="36"/>
    </row>
    <row r="108" customFormat="false" ht="15.75" hidden="false" customHeight="true" outlineLevel="0" collapsed="false">
      <c r="A108" s="33" t="s">
        <v>187</v>
      </c>
      <c r="B108" s="33" t="s">
        <v>59</v>
      </c>
      <c r="C108" s="33" t="s">
        <v>60</v>
      </c>
      <c r="D108" s="33" t="s">
        <v>188</v>
      </c>
      <c r="E108" s="34" t="n">
        <v>26</v>
      </c>
      <c r="F108" s="34" t="n">
        <v>27</v>
      </c>
      <c r="G108" s="35"/>
      <c r="H108" s="36"/>
    </row>
    <row r="109" customFormat="false" ht="15.75" hidden="false" customHeight="true" outlineLevel="0" collapsed="false">
      <c r="A109" s="38" t="s">
        <v>189</v>
      </c>
      <c r="B109" s="38" t="s">
        <v>59</v>
      </c>
      <c r="C109" s="38" t="s">
        <v>64</v>
      </c>
      <c r="D109" s="38" t="s">
        <v>188</v>
      </c>
      <c r="E109" s="39" t="n">
        <v>30</v>
      </c>
      <c r="F109" s="39" t="n">
        <v>32</v>
      </c>
      <c r="G109" s="35"/>
      <c r="H109" s="36"/>
    </row>
    <row r="110" customFormat="false" ht="15.75" hidden="false" customHeight="true" outlineLevel="0" collapsed="false">
      <c r="A110" s="33" t="s">
        <v>190</v>
      </c>
      <c r="B110" s="33" t="s">
        <v>59</v>
      </c>
      <c r="C110" s="33" t="s">
        <v>67</v>
      </c>
      <c r="D110" s="33" t="s">
        <v>188</v>
      </c>
      <c r="E110" s="34" t="n">
        <v>20</v>
      </c>
      <c r="F110" s="34" t="n">
        <v>19</v>
      </c>
      <c r="G110" s="35"/>
      <c r="H110" s="36"/>
    </row>
    <row r="111" customFormat="false" ht="15.75" hidden="false" customHeight="true" outlineLevel="0" collapsed="false">
      <c r="A111" s="38" t="s">
        <v>191</v>
      </c>
      <c r="B111" s="38" t="s">
        <v>59</v>
      </c>
      <c r="C111" s="38" t="s">
        <v>70</v>
      </c>
      <c r="D111" s="38" t="s">
        <v>188</v>
      </c>
      <c r="E111" s="39" t="n">
        <v>36</v>
      </c>
      <c r="F111" s="39" t="n">
        <v>38</v>
      </c>
      <c r="G111" s="35"/>
      <c r="H111" s="36"/>
    </row>
    <row r="112" customFormat="false" ht="15.75" hidden="false" customHeight="true" outlineLevel="0" collapsed="false">
      <c r="A112" s="33" t="s">
        <v>192</v>
      </c>
      <c r="B112" s="33" t="s">
        <v>73</v>
      </c>
      <c r="C112" s="33" t="s">
        <v>60</v>
      </c>
      <c r="D112" s="33" t="s">
        <v>188</v>
      </c>
      <c r="E112" s="34" t="n">
        <v>23</v>
      </c>
      <c r="F112" s="34" t="n">
        <v>21</v>
      </c>
      <c r="G112" s="35"/>
      <c r="H112" s="36"/>
    </row>
    <row r="113" customFormat="false" ht="15.75" hidden="false" customHeight="true" outlineLevel="0" collapsed="false">
      <c r="A113" s="38" t="s">
        <v>193</v>
      </c>
      <c r="B113" s="38" t="s">
        <v>73</v>
      </c>
      <c r="C113" s="38" t="s">
        <v>64</v>
      </c>
      <c r="D113" s="38" t="s">
        <v>188</v>
      </c>
      <c r="E113" s="39" t="n">
        <v>27</v>
      </c>
      <c r="F113" s="39" t="n">
        <v>25</v>
      </c>
      <c r="G113" s="35"/>
      <c r="H113" s="36"/>
    </row>
    <row r="114" customFormat="false" ht="15.75" hidden="false" customHeight="true" outlineLevel="0" collapsed="false">
      <c r="A114" s="33" t="s">
        <v>194</v>
      </c>
      <c r="B114" s="33" t="s">
        <v>73</v>
      </c>
      <c r="C114" s="33" t="s">
        <v>67</v>
      </c>
      <c r="D114" s="33" t="s">
        <v>188</v>
      </c>
      <c r="E114" s="34" t="n">
        <v>30</v>
      </c>
      <c r="F114" s="34" t="n">
        <v>24</v>
      </c>
      <c r="G114" s="35"/>
      <c r="H114" s="36"/>
    </row>
    <row r="115" customFormat="false" ht="15.75" hidden="false" customHeight="true" outlineLevel="0" collapsed="false">
      <c r="A115" s="38" t="s">
        <v>195</v>
      </c>
      <c r="B115" s="38" t="s">
        <v>73</v>
      </c>
      <c r="C115" s="38" t="s">
        <v>70</v>
      </c>
      <c r="D115" s="38" t="s">
        <v>188</v>
      </c>
      <c r="E115" s="39" t="n">
        <v>32</v>
      </c>
      <c r="F115" s="39" t="n">
        <v>34</v>
      </c>
      <c r="G115" s="35"/>
      <c r="H115" s="36"/>
    </row>
    <row r="116" customFormat="false" ht="15.75" hidden="false" customHeight="true" outlineLevel="0" collapsed="false">
      <c r="A116" s="33" t="s">
        <v>196</v>
      </c>
      <c r="B116" s="33" t="s">
        <v>81</v>
      </c>
      <c r="C116" s="33" t="s">
        <v>60</v>
      </c>
      <c r="D116" s="33" t="s">
        <v>188</v>
      </c>
      <c r="E116" s="34" t="n">
        <v>25</v>
      </c>
      <c r="F116" s="34" t="n">
        <v>26</v>
      </c>
      <c r="G116" s="35"/>
      <c r="H116" s="36"/>
    </row>
    <row r="117" customFormat="false" ht="15.75" hidden="false" customHeight="true" outlineLevel="0" collapsed="false">
      <c r="A117" s="38" t="s">
        <v>197</v>
      </c>
      <c r="B117" s="38" t="s">
        <v>81</v>
      </c>
      <c r="C117" s="38" t="s">
        <v>64</v>
      </c>
      <c r="D117" s="38" t="s">
        <v>188</v>
      </c>
      <c r="E117" s="39" t="n">
        <v>40</v>
      </c>
      <c r="F117" s="39" t="n">
        <v>46</v>
      </c>
      <c r="G117" s="35"/>
      <c r="H117" s="36"/>
    </row>
    <row r="118" customFormat="false" ht="15.75" hidden="false" customHeight="true" outlineLevel="0" collapsed="false">
      <c r="A118" s="33" t="s">
        <v>198</v>
      </c>
      <c r="B118" s="33" t="s">
        <v>81</v>
      </c>
      <c r="C118" s="33" t="s">
        <v>67</v>
      </c>
      <c r="D118" s="33" t="s">
        <v>188</v>
      </c>
      <c r="E118" s="34" t="n">
        <v>25</v>
      </c>
      <c r="F118" s="34" t="n">
        <v>24</v>
      </c>
      <c r="G118" s="35"/>
      <c r="H118" s="36"/>
    </row>
    <row r="119" customFormat="false" ht="15.75" hidden="false" customHeight="true" outlineLevel="0" collapsed="false">
      <c r="A119" s="38" t="s">
        <v>199</v>
      </c>
      <c r="B119" s="38" t="s">
        <v>81</v>
      </c>
      <c r="C119" s="38" t="s">
        <v>70</v>
      </c>
      <c r="D119" s="38" t="s">
        <v>188</v>
      </c>
      <c r="E119" s="39" t="n">
        <v>30</v>
      </c>
      <c r="F119" s="39" t="n">
        <v>32</v>
      </c>
      <c r="G119" s="35"/>
      <c r="H119" s="36"/>
    </row>
    <row r="120" customFormat="false" ht="15.75" hidden="false" customHeight="true" outlineLevel="0" collapsed="false">
      <c r="A120" s="33" t="s">
        <v>200</v>
      </c>
      <c r="B120" s="33" t="s">
        <v>90</v>
      </c>
      <c r="C120" s="33" t="s">
        <v>60</v>
      </c>
      <c r="D120" s="33" t="s">
        <v>188</v>
      </c>
      <c r="E120" s="34" t="n">
        <v>27</v>
      </c>
      <c r="F120" s="34" t="n">
        <v>29</v>
      </c>
      <c r="G120" s="35"/>
      <c r="H120" s="36"/>
    </row>
    <row r="121" customFormat="false" ht="15.75" hidden="false" customHeight="true" outlineLevel="0" collapsed="false">
      <c r="A121" s="38" t="s">
        <v>201</v>
      </c>
      <c r="B121" s="38" t="s">
        <v>90</v>
      </c>
      <c r="C121" s="38" t="s">
        <v>64</v>
      </c>
      <c r="D121" s="38" t="s">
        <v>188</v>
      </c>
      <c r="E121" s="39" t="n">
        <v>35</v>
      </c>
      <c r="F121" s="39" t="n">
        <v>33</v>
      </c>
      <c r="G121" s="35"/>
      <c r="H121" s="36"/>
    </row>
    <row r="122" customFormat="false" ht="15.75" hidden="false" customHeight="true" outlineLevel="0" collapsed="false">
      <c r="A122" s="33" t="s">
        <v>202</v>
      </c>
      <c r="B122" s="33" t="s">
        <v>90</v>
      </c>
      <c r="C122" s="33" t="s">
        <v>67</v>
      </c>
      <c r="D122" s="33" t="s">
        <v>188</v>
      </c>
      <c r="E122" s="34" t="n">
        <v>23</v>
      </c>
      <c r="F122" s="34" t="n">
        <v>25</v>
      </c>
      <c r="G122" s="35"/>
      <c r="H122" s="36"/>
    </row>
    <row r="123" customFormat="false" ht="15.75" hidden="false" customHeight="true" outlineLevel="0" collapsed="false">
      <c r="A123" s="38" t="s">
        <v>203</v>
      </c>
      <c r="B123" s="38" t="s">
        <v>90</v>
      </c>
      <c r="C123" s="38" t="s">
        <v>70</v>
      </c>
      <c r="D123" s="38" t="s">
        <v>188</v>
      </c>
      <c r="E123" s="39" t="n">
        <v>31</v>
      </c>
      <c r="F123" s="39" t="n">
        <v>30</v>
      </c>
      <c r="G123" s="35"/>
      <c r="H123" s="36"/>
    </row>
    <row r="124" customFormat="false" ht="15.75" hidden="false" customHeight="true" outlineLevel="0" collapsed="false">
      <c r="A124" s="33" t="s">
        <v>204</v>
      </c>
      <c r="B124" s="33" t="s">
        <v>99</v>
      </c>
      <c r="C124" s="33" t="s">
        <v>60</v>
      </c>
      <c r="D124" s="33" t="s">
        <v>188</v>
      </c>
      <c r="E124" s="34" t="n">
        <v>29</v>
      </c>
      <c r="F124" s="34" t="n">
        <v>28</v>
      </c>
      <c r="G124" s="35"/>
      <c r="H124" s="36"/>
    </row>
    <row r="125" customFormat="false" ht="15.75" hidden="false" customHeight="true" outlineLevel="0" collapsed="false">
      <c r="A125" s="38" t="s">
        <v>205</v>
      </c>
      <c r="B125" s="38" t="s">
        <v>99</v>
      </c>
      <c r="C125" s="38" t="s">
        <v>64</v>
      </c>
      <c r="D125" s="38" t="s">
        <v>188</v>
      </c>
      <c r="E125" s="39" t="n">
        <v>33</v>
      </c>
      <c r="F125" s="39" t="n">
        <v>32</v>
      </c>
      <c r="G125" s="35"/>
      <c r="H125" s="36"/>
    </row>
    <row r="126" customFormat="false" ht="15.75" hidden="false" customHeight="true" outlineLevel="0" collapsed="false">
      <c r="A126" s="33" t="s">
        <v>206</v>
      </c>
      <c r="B126" s="33" t="s">
        <v>99</v>
      </c>
      <c r="C126" s="33" t="s">
        <v>67</v>
      </c>
      <c r="D126" s="33" t="s">
        <v>188</v>
      </c>
      <c r="E126" s="34" t="n">
        <v>27</v>
      </c>
      <c r="F126" s="34" t="n">
        <v>26</v>
      </c>
      <c r="G126" s="35"/>
      <c r="H126" s="36"/>
    </row>
    <row r="127" customFormat="false" ht="15.75" hidden="false" customHeight="true" outlineLevel="0" collapsed="false">
      <c r="A127" s="38" t="s">
        <v>207</v>
      </c>
      <c r="B127" s="38" t="s">
        <v>99</v>
      </c>
      <c r="C127" s="38" t="s">
        <v>70</v>
      </c>
      <c r="D127" s="38" t="s">
        <v>188</v>
      </c>
      <c r="E127" s="39" t="n">
        <v>35</v>
      </c>
      <c r="F127" s="39" t="n">
        <v>31</v>
      </c>
      <c r="G127" s="35"/>
      <c r="H127" s="36"/>
    </row>
    <row r="130" customFormat="false" ht="25.5" hidden="false" customHeight="true" outlineLevel="0" collapsed="false">
      <c r="A130" s="42" t="s">
        <v>208</v>
      </c>
      <c r="B130" s="42"/>
      <c r="C130" s="42"/>
      <c r="D130" s="42"/>
      <c r="E130" s="42"/>
      <c r="F130" s="42"/>
      <c r="G130" s="42"/>
      <c r="H130" s="42"/>
    </row>
    <row r="131" customFormat="false" ht="21.75" hidden="false" customHeight="true" outlineLevel="0" collapsed="false">
      <c r="A131" s="4" t="s">
        <v>209</v>
      </c>
      <c r="B131" s="43" t="n">
        <f aca="false">COUNTA(A8:A127)</f>
        <v>120</v>
      </c>
      <c r="C131" s="44" t="s">
        <v>210</v>
      </c>
      <c r="D131" s="44"/>
      <c r="E131" s="44"/>
      <c r="F131" s="44"/>
      <c r="G131" s="44"/>
      <c r="H131" s="44"/>
    </row>
    <row r="132" customFormat="false" ht="21.75" hidden="false" customHeight="true" outlineLevel="0" collapsed="false">
      <c r="A132" s="4" t="s">
        <v>211</v>
      </c>
      <c r="B132" s="43" t="n">
        <f aca="false">COUNTIF(H8:H127,"On Track")</f>
        <v>0</v>
      </c>
      <c r="C132" s="45" t="s">
        <v>212</v>
      </c>
      <c r="D132" s="45"/>
      <c r="E132" s="45"/>
      <c r="F132" s="45"/>
      <c r="G132" s="45"/>
      <c r="H132" s="45"/>
    </row>
    <row r="133" customFormat="false" ht="21.75" hidden="false" customHeight="true" outlineLevel="0" collapsed="false">
      <c r="A133" s="4" t="s">
        <v>213</v>
      </c>
      <c r="B133" s="43" t="n">
        <f aca="false">COUNTIF(H8:H127,"Watch")</f>
        <v>0</v>
      </c>
      <c r="C133" s="44" t="s">
        <v>214</v>
      </c>
      <c r="D133" s="44"/>
      <c r="E133" s="44"/>
      <c r="F133" s="44"/>
      <c r="G133" s="44"/>
      <c r="H133" s="44"/>
    </row>
    <row r="134" customFormat="false" ht="21.75" hidden="false" customHeight="true" outlineLevel="0" collapsed="false">
      <c r="A134" s="4" t="s">
        <v>215</v>
      </c>
      <c r="B134" s="43" t="n">
        <f aca="false">COUNTIF(H8:H127,"Below Target")</f>
        <v>0</v>
      </c>
      <c r="C134" s="45" t="s">
        <v>216</v>
      </c>
      <c r="D134" s="45"/>
      <c r="E134" s="45"/>
      <c r="F134" s="45"/>
      <c r="G134" s="45"/>
      <c r="H134" s="45"/>
    </row>
    <row r="135" customFormat="false" ht="21.75" hidden="false" customHeight="true" outlineLevel="0" collapsed="false">
      <c r="A135" s="4" t="s">
        <v>217</v>
      </c>
      <c r="B135" s="43" t="e">
        <f aca="false">AVERAGE(G8:G127)</f>
        <v>#DIV/0!</v>
      </c>
      <c r="C135" s="44" t="s">
        <v>218</v>
      </c>
      <c r="D135" s="44"/>
      <c r="E135" s="44"/>
      <c r="F135" s="44"/>
      <c r="G135" s="44"/>
      <c r="H135" s="44"/>
    </row>
    <row r="136" customFormat="false" ht="21.75" hidden="false" customHeight="true" outlineLevel="0" collapsed="false">
      <c r="A136" s="4" t="s">
        <v>219</v>
      </c>
      <c r="B136" s="43" t="e">
        <f aca="false">AVERAGEIF(B8:B127,"IT",G8:G127)</f>
        <v>#DIV/0!</v>
      </c>
      <c r="C136" s="45" t="s">
        <v>220</v>
      </c>
      <c r="D136" s="45"/>
      <c r="E136" s="45"/>
      <c r="F136" s="45"/>
      <c r="G136" s="45"/>
      <c r="H136" s="45"/>
    </row>
    <row r="137" customFormat="false" ht="21.75" hidden="false" customHeight="true" outlineLevel="0" collapsed="false">
      <c r="A137" s="4" t="s">
        <v>221</v>
      </c>
      <c r="B137" s="43" t="e">
        <f aca="false">AVERAGEIF(B8:B127,"Finance",G8:G127)</f>
        <v>#DIV/0!</v>
      </c>
      <c r="C137" s="44" t="s">
        <v>222</v>
      </c>
      <c r="D137" s="44"/>
      <c r="E137" s="44"/>
      <c r="F137" s="44"/>
      <c r="G137" s="44"/>
      <c r="H137" s="44"/>
    </row>
    <row r="138" customFormat="false" ht="21.75" hidden="false" customHeight="true" outlineLevel="0" collapsed="false">
      <c r="A138" s="4" t="s">
        <v>223</v>
      </c>
      <c r="B138" s="43" t="e">
        <f aca="false">AVERAGEIF(C8:C127,"Compliance",G8:G127)</f>
        <v>#DIV/0!</v>
      </c>
      <c r="C138" s="45" t="s">
        <v>224</v>
      </c>
      <c r="D138" s="45"/>
      <c r="E138" s="45"/>
      <c r="F138" s="45"/>
      <c r="G138" s="45"/>
      <c r="H138" s="45"/>
    </row>
    <row r="140" customFormat="false" ht="31.5" hidden="false" customHeight="true" outlineLevel="0" collapsed="false">
      <c r="A140" s="46" t="s">
        <v>225</v>
      </c>
      <c r="B140" s="46"/>
      <c r="C140" s="46"/>
      <c r="D140" s="46"/>
      <c r="E140" s="46"/>
      <c r="F140" s="46"/>
      <c r="G140" s="46"/>
      <c r="H140" s="46"/>
    </row>
  </sheetData>
  <mergeCells count="14">
    <mergeCell ref="A1:H1"/>
    <mergeCell ref="A2:H2"/>
    <mergeCell ref="A4:H4"/>
    <mergeCell ref="A5:H5"/>
    <mergeCell ref="A130:H130"/>
    <mergeCell ref="C131:H131"/>
    <mergeCell ref="C132:H132"/>
    <mergeCell ref="C133:H133"/>
    <mergeCell ref="C134:H134"/>
    <mergeCell ref="C135:H135"/>
    <mergeCell ref="C136:H136"/>
    <mergeCell ref="C137:H137"/>
    <mergeCell ref="C138:H138"/>
    <mergeCell ref="A140:H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8"/>
  </cols>
  <sheetData>
    <row r="1" customFormat="false" ht="42" hidden="false" customHeight="true" outlineLevel="0" collapsed="false">
      <c r="A1" s="1" t="s">
        <v>226</v>
      </c>
      <c r="B1" s="1"/>
    </row>
    <row r="2" customFormat="false" ht="24" hidden="false" customHeight="true" outlineLevel="0" collapsed="false">
      <c r="A2" s="2" t="s">
        <v>227</v>
      </c>
      <c r="B2" s="2"/>
    </row>
    <row r="4" customFormat="false" ht="25.5" hidden="false" customHeight="true" outlineLevel="0" collapsed="false">
      <c r="A4" s="3" t="s">
        <v>228</v>
      </c>
      <c r="B4" s="3"/>
    </row>
    <row r="5" customFormat="false" ht="24" hidden="false" customHeight="true" outlineLevel="0" collapsed="false">
      <c r="A5" s="47" t="s">
        <v>229</v>
      </c>
      <c r="B5" s="47"/>
    </row>
    <row r="6" customFormat="false" ht="24" hidden="false" customHeight="true" outlineLevel="0" collapsed="false">
      <c r="A6" s="48" t="s">
        <v>230</v>
      </c>
      <c r="B6" s="48"/>
    </row>
    <row r="7" customFormat="false" ht="24" hidden="false" customHeight="true" outlineLevel="0" collapsed="false">
      <c r="A7" s="47" t="s">
        <v>231</v>
      </c>
      <c r="B7" s="47"/>
    </row>
    <row r="8" customFormat="false" ht="24" hidden="false" customHeight="true" outlineLevel="0" collapsed="false">
      <c r="A8" s="48" t="s">
        <v>232</v>
      </c>
      <c r="B8" s="48"/>
    </row>
    <row r="10" customFormat="false" ht="25.5" hidden="false" customHeight="true" outlineLevel="0" collapsed="false">
      <c r="A10" s="24" t="s">
        <v>233</v>
      </c>
      <c r="B10" s="24"/>
    </row>
    <row r="11" customFormat="false" ht="30" hidden="false" customHeight="true" outlineLevel="0" collapsed="false">
      <c r="A11" s="32" t="s">
        <v>234</v>
      </c>
      <c r="B11" s="49" t="s">
        <v>235</v>
      </c>
    </row>
    <row r="12" customFormat="false" ht="30" hidden="false" customHeight="true" outlineLevel="0" collapsed="false">
      <c r="A12" s="37" t="s">
        <v>236</v>
      </c>
      <c r="B12" s="37" t="s">
        <v>237</v>
      </c>
    </row>
    <row r="13" customFormat="false" ht="30" hidden="false" customHeight="true" outlineLevel="0" collapsed="false">
      <c r="A13" s="41" t="s">
        <v>238</v>
      </c>
      <c r="B13" s="41" t="s">
        <v>239</v>
      </c>
    </row>
    <row r="14" customFormat="false" ht="30" hidden="false" customHeight="true" outlineLevel="0" collapsed="false">
      <c r="A14" s="41" t="s">
        <v>240</v>
      </c>
      <c r="B14" s="41" t="s">
        <v>241</v>
      </c>
    </row>
    <row r="15" customFormat="false" ht="30" hidden="false" customHeight="true" outlineLevel="0" collapsed="false">
      <c r="A15" s="40" t="s">
        <v>242</v>
      </c>
      <c r="B15" s="40" t="s">
        <v>243</v>
      </c>
    </row>
    <row r="16" customFormat="false" ht="30" hidden="false" customHeight="true" outlineLevel="0" collapsed="false">
      <c r="A16" s="37" t="s">
        <v>244</v>
      </c>
      <c r="B16" s="37" t="s">
        <v>245</v>
      </c>
    </row>
    <row r="17" customFormat="false" ht="30" hidden="false" customHeight="true" outlineLevel="0" collapsed="false">
      <c r="A17" s="32" t="s">
        <v>246</v>
      </c>
      <c r="B17" s="49" t="s">
        <v>247</v>
      </c>
    </row>
    <row r="18" customFormat="false" ht="30" hidden="false" customHeight="true" outlineLevel="0" collapsed="false">
      <c r="A18" s="37" t="s">
        <v>248</v>
      </c>
      <c r="B18" s="37" t="s">
        <v>249</v>
      </c>
    </row>
    <row r="19" customFormat="false" ht="30" hidden="false" customHeight="true" outlineLevel="0" collapsed="false">
      <c r="A19" s="41" t="s">
        <v>250</v>
      </c>
      <c r="B19" s="41" t="s">
        <v>251</v>
      </c>
    </row>
    <row r="20" customFormat="false" ht="30" hidden="false" customHeight="true" outlineLevel="0" collapsed="false">
      <c r="A20" s="37" t="s">
        <v>252</v>
      </c>
      <c r="B20" s="37" t="s">
        <v>253</v>
      </c>
    </row>
    <row r="21" customFormat="false" ht="30" hidden="false" customHeight="true" outlineLevel="0" collapsed="false">
      <c r="A21" s="32" t="s">
        <v>254</v>
      </c>
      <c r="B21" s="49" t="s">
        <v>255</v>
      </c>
    </row>
    <row r="22" customFormat="false" ht="30" hidden="false" customHeight="true" outlineLevel="0" collapsed="false">
      <c r="A22" s="37" t="s">
        <v>256</v>
      </c>
      <c r="B22" s="37" t="s">
        <v>257</v>
      </c>
    </row>
    <row r="23" customFormat="false" ht="30" hidden="false" customHeight="true" outlineLevel="0" collapsed="false">
      <c r="A23" s="40" t="s">
        <v>258</v>
      </c>
      <c r="B23" s="40" t="s">
        <v>259</v>
      </c>
    </row>
    <row r="24" customFormat="false" ht="30" hidden="false" customHeight="true" outlineLevel="0" collapsed="false">
      <c r="A24" s="37" t="s">
        <v>260</v>
      </c>
      <c r="B24" s="37" t="s">
        <v>261</v>
      </c>
    </row>
    <row r="25" customFormat="false" ht="30" hidden="false" customHeight="true" outlineLevel="0" collapsed="false">
      <c r="A25" s="40" t="s">
        <v>262</v>
      </c>
      <c r="B25" s="40" t="s">
        <v>263</v>
      </c>
    </row>
    <row r="27" customFormat="false" ht="25.5" hidden="false" customHeight="true" outlineLevel="0" collapsed="false">
      <c r="A27" s="50" t="s">
        <v>264</v>
      </c>
      <c r="B27" s="50"/>
    </row>
    <row r="28" customFormat="false" ht="24" hidden="false" customHeight="true" outlineLevel="0" collapsed="false">
      <c r="A28" s="26" t="s">
        <v>265</v>
      </c>
      <c r="B28" s="26" t="s">
        <v>266</v>
      </c>
      <c r="C28" s="26" t="s">
        <v>267</v>
      </c>
      <c r="D28" s="26" t="s">
        <v>268</v>
      </c>
    </row>
    <row r="29" customFormat="false" ht="19.5" hidden="false" customHeight="true" outlineLevel="0" collapsed="false">
      <c r="A29" s="51" t="s">
        <v>269</v>
      </c>
      <c r="B29" s="51" t="s">
        <v>270</v>
      </c>
      <c r="C29" s="52" t="s">
        <v>271</v>
      </c>
      <c r="D29" s="53" t="s">
        <v>272</v>
      </c>
    </row>
    <row r="30" customFormat="false" ht="19.5" hidden="false" customHeight="true" outlineLevel="0" collapsed="false">
      <c r="A30" s="54" t="s">
        <v>273</v>
      </c>
      <c r="B30" s="54" t="s">
        <v>274</v>
      </c>
      <c r="C30" s="52" t="s">
        <v>275</v>
      </c>
      <c r="D30" s="53" t="s">
        <v>272</v>
      </c>
    </row>
    <row r="31" customFormat="false" ht="19.5" hidden="false" customHeight="true" outlineLevel="0" collapsed="false">
      <c r="A31" s="51" t="s">
        <v>276</v>
      </c>
      <c r="B31" s="51" t="s">
        <v>277</v>
      </c>
      <c r="C31" s="55" t="s">
        <v>278</v>
      </c>
      <c r="D31" s="56" t="s">
        <v>279</v>
      </c>
    </row>
    <row r="32" customFormat="false" ht="19.5" hidden="false" customHeight="true" outlineLevel="0" collapsed="false">
      <c r="A32" s="54" t="s">
        <v>280</v>
      </c>
      <c r="B32" s="54" t="s">
        <v>281</v>
      </c>
      <c r="C32" s="57" t="s">
        <v>282</v>
      </c>
      <c r="D32" s="58" t="s">
        <v>283</v>
      </c>
    </row>
    <row r="33" customFormat="false" ht="19.5" hidden="false" customHeight="true" outlineLevel="0" collapsed="false">
      <c r="A33" s="51" t="s">
        <v>284</v>
      </c>
      <c r="B33" s="51" t="s">
        <v>285</v>
      </c>
      <c r="C33" s="52" t="s">
        <v>286</v>
      </c>
      <c r="D33" s="53" t="s">
        <v>272</v>
      </c>
    </row>
    <row r="34" customFormat="false" ht="19.5" hidden="false" customHeight="true" outlineLevel="0" collapsed="false">
      <c r="A34" s="54" t="s">
        <v>287</v>
      </c>
      <c r="B34" s="54" t="s">
        <v>288</v>
      </c>
      <c r="C34" s="57" t="s">
        <v>289</v>
      </c>
      <c r="D34" s="58" t="s">
        <v>283</v>
      </c>
    </row>
    <row r="35" customFormat="false" ht="19.5" hidden="false" customHeight="true" outlineLevel="0" collapsed="false">
      <c r="A35" s="51" t="s">
        <v>290</v>
      </c>
      <c r="B35" s="51" t="s">
        <v>291</v>
      </c>
      <c r="C35" s="55" t="s">
        <v>292</v>
      </c>
      <c r="D35" s="56" t="s">
        <v>279</v>
      </c>
    </row>
    <row r="36" customFormat="false" ht="19.5" hidden="false" customHeight="true" outlineLevel="0" collapsed="false">
      <c r="A36" s="54" t="s">
        <v>293</v>
      </c>
      <c r="B36" s="54" t="s">
        <v>294</v>
      </c>
      <c r="C36" s="57" t="s">
        <v>295</v>
      </c>
      <c r="D36" s="58" t="s">
        <v>283</v>
      </c>
    </row>
    <row r="37" customFormat="false" ht="19.5" hidden="false" customHeight="true" outlineLevel="0" collapsed="false">
      <c r="A37" s="51" t="s">
        <v>296</v>
      </c>
      <c r="B37" s="51" t="s">
        <v>297</v>
      </c>
      <c r="C37" s="55" t="s">
        <v>298</v>
      </c>
      <c r="D37" s="56" t="s">
        <v>279</v>
      </c>
    </row>
    <row r="38" customFormat="false" ht="19.5" hidden="false" customHeight="true" outlineLevel="0" collapsed="false">
      <c r="A38" s="54" t="s">
        <v>299</v>
      </c>
      <c r="B38" s="54" t="s">
        <v>300</v>
      </c>
      <c r="C38" s="57" t="s">
        <v>301</v>
      </c>
      <c r="D38" s="58" t="s">
        <v>283</v>
      </c>
    </row>
    <row r="39" customFormat="false" ht="19.5" hidden="false" customHeight="true" outlineLevel="0" collapsed="false">
      <c r="A39" s="51" t="s">
        <v>302</v>
      </c>
      <c r="B39" s="51" t="s">
        <v>303</v>
      </c>
      <c r="C39" s="55" t="s">
        <v>304</v>
      </c>
      <c r="D39" s="56" t="s">
        <v>279</v>
      </c>
    </row>
    <row r="40" customFormat="false" ht="19.5" hidden="false" customHeight="true" outlineLevel="0" collapsed="false">
      <c r="A40" s="54" t="s">
        <v>305</v>
      </c>
      <c r="B40" s="54" t="s">
        <v>306</v>
      </c>
      <c r="C40" s="57" t="s">
        <v>307</v>
      </c>
      <c r="D40" s="58" t="s">
        <v>283</v>
      </c>
    </row>
    <row r="41" customFormat="false" ht="19.5" hidden="false" customHeight="true" outlineLevel="0" collapsed="false">
      <c r="A41" s="51" t="s">
        <v>308</v>
      </c>
      <c r="B41" s="51" t="s">
        <v>309</v>
      </c>
      <c r="C41" s="55" t="s">
        <v>310</v>
      </c>
      <c r="D41" s="56" t="s">
        <v>279</v>
      </c>
    </row>
    <row r="42" customFormat="false" ht="19.5" hidden="false" customHeight="true" outlineLevel="0" collapsed="false">
      <c r="A42" s="54" t="s">
        <v>311</v>
      </c>
      <c r="B42" s="54" t="s">
        <v>312</v>
      </c>
      <c r="C42" s="55" t="s">
        <v>313</v>
      </c>
      <c r="D42" s="56" t="s">
        <v>279</v>
      </c>
    </row>
    <row r="43" customFormat="false" ht="19.5" hidden="false" customHeight="true" outlineLevel="0" collapsed="false">
      <c r="A43" s="51" t="s">
        <v>314</v>
      </c>
      <c r="B43" s="51" t="s">
        <v>315</v>
      </c>
      <c r="C43" s="52" t="s">
        <v>316</v>
      </c>
      <c r="D43" s="53" t="s">
        <v>272</v>
      </c>
    </row>
    <row r="45" customFormat="false" ht="25.5" hidden="false" customHeight="true" outlineLevel="0" collapsed="false">
      <c r="A45" s="42" t="s">
        <v>317</v>
      </c>
      <c r="B45" s="42"/>
    </row>
    <row r="46" customFormat="false" ht="31.5" hidden="false" customHeight="true" outlineLevel="0" collapsed="false">
      <c r="A46" s="32" t="s">
        <v>318</v>
      </c>
      <c r="B46" s="59" t="s">
        <v>319</v>
      </c>
    </row>
    <row r="47" customFormat="false" ht="31.5" hidden="false" customHeight="true" outlineLevel="0" collapsed="false">
      <c r="A47" s="32" t="s">
        <v>320</v>
      </c>
      <c r="B47" s="59" t="s">
        <v>321</v>
      </c>
    </row>
    <row r="48" customFormat="false" ht="31.5" hidden="false" customHeight="true" outlineLevel="0" collapsed="false">
      <c r="A48" s="32" t="s">
        <v>322</v>
      </c>
      <c r="B48" s="59" t="s">
        <v>323</v>
      </c>
    </row>
    <row r="49" customFormat="false" ht="31.5" hidden="false" customHeight="true" outlineLevel="0" collapsed="false">
      <c r="A49" s="32" t="s">
        <v>324</v>
      </c>
      <c r="B49" s="59" t="s">
        <v>325</v>
      </c>
    </row>
    <row r="50" customFormat="false" ht="31.5" hidden="false" customHeight="true" outlineLevel="0" collapsed="false">
      <c r="A50" s="32" t="s">
        <v>326</v>
      </c>
      <c r="B50" s="59" t="s">
        <v>327</v>
      </c>
    </row>
    <row r="52" customFormat="false" ht="31.5" hidden="false" customHeight="true" outlineLevel="0" collapsed="false">
      <c r="A52" s="60" t="s">
        <v>328</v>
      </c>
      <c r="B52" s="60"/>
    </row>
  </sheetData>
  <mergeCells count="11">
    <mergeCell ref="A1:B1"/>
    <mergeCell ref="A2:B2"/>
    <mergeCell ref="A4:B4"/>
    <mergeCell ref="A5:B5"/>
    <mergeCell ref="A6:B6"/>
    <mergeCell ref="A7:B7"/>
    <mergeCell ref="A8:B8"/>
    <mergeCell ref="A10:B10"/>
    <mergeCell ref="A27:B27"/>
    <mergeCell ref="A45:B45"/>
    <mergeCell ref="A52:B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2"/>
  </cols>
  <sheetData>
    <row r="1" customFormat="false" ht="42" hidden="false" customHeight="true" outlineLevel="0" collapsed="false">
      <c r="A1" s="1" t="s">
        <v>329</v>
      </c>
      <c r="B1" s="1"/>
    </row>
    <row r="2" customFormat="false" ht="24" hidden="false" customHeight="true" outlineLevel="0" collapsed="false">
      <c r="A2" s="2" t="s">
        <v>330</v>
      </c>
      <c r="B2" s="2"/>
    </row>
    <row r="4" customFormat="false" ht="25.5" hidden="false" customHeight="true" outlineLevel="0" collapsed="false">
      <c r="A4" s="3" t="s">
        <v>228</v>
      </c>
      <c r="B4" s="3"/>
    </row>
    <row r="5" customFormat="false" ht="24" hidden="false" customHeight="true" outlineLevel="0" collapsed="false">
      <c r="A5" s="47" t="s">
        <v>331</v>
      </c>
      <c r="B5" s="47"/>
    </row>
    <row r="6" customFormat="false" ht="24" hidden="false" customHeight="true" outlineLevel="0" collapsed="false">
      <c r="A6" s="48" t="s">
        <v>332</v>
      </c>
      <c r="B6" s="48"/>
    </row>
    <row r="7" customFormat="false" ht="24" hidden="false" customHeight="true" outlineLevel="0" collapsed="false">
      <c r="A7" s="47" t="s">
        <v>333</v>
      </c>
      <c r="B7" s="47"/>
    </row>
    <row r="8" customFormat="false" ht="24" hidden="false" customHeight="true" outlineLevel="0" collapsed="false">
      <c r="A8" s="48" t="s">
        <v>334</v>
      </c>
      <c r="B8" s="48"/>
    </row>
    <row r="10" customFormat="false" ht="25.5" hidden="false" customHeight="true" outlineLevel="0" collapsed="false">
      <c r="A10" s="24" t="s">
        <v>335</v>
      </c>
      <c r="B10" s="24"/>
    </row>
    <row r="11" customFormat="false" ht="27.75" hidden="false" customHeight="true" outlineLevel="0" collapsed="false">
      <c r="A11" s="61" t="s">
        <v>336</v>
      </c>
      <c r="B11" s="62" t="s">
        <v>337</v>
      </c>
      <c r="C11" s="62"/>
      <c r="D11" s="62"/>
      <c r="E11" s="62"/>
      <c r="F11" s="62"/>
      <c r="G11" s="62"/>
      <c r="H11" s="62"/>
      <c r="I11" s="62"/>
      <c r="J11" s="62"/>
    </row>
    <row r="12" customFormat="false" ht="27.75" hidden="false" customHeight="true" outlineLevel="0" collapsed="false">
      <c r="A12" s="61" t="s">
        <v>338</v>
      </c>
      <c r="B12" s="63" t="s">
        <v>339</v>
      </c>
      <c r="C12" s="63"/>
      <c r="D12" s="63"/>
      <c r="E12" s="63"/>
      <c r="F12" s="63"/>
      <c r="G12" s="63"/>
      <c r="H12" s="63"/>
      <c r="I12" s="63"/>
      <c r="J12" s="63"/>
    </row>
    <row r="13" customFormat="false" ht="27.75" hidden="false" customHeight="true" outlineLevel="0" collapsed="false">
      <c r="A13" s="61" t="s">
        <v>340</v>
      </c>
      <c r="B13" s="62" t="s">
        <v>341</v>
      </c>
      <c r="C13" s="62"/>
      <c r="D13" s="62"/>
      <c r="E13" s="62"/>
      <c r="F13" s="62"/>
      <c r="G13" s="62"/>
      <c r="H13" s="62"/>
      <c r="I13" s="62"/>
      <c r="J13" s="62"/>
    </row>
    <row r="14" customFormat="false" ht="27.75" hidden="false" customHeight="true" outlineLevel="0" collapsed="false">
      <c r="A14" s="61" t="s">
        <v>342</v>
      </c>
      <c r="B14" s="63" t="s">
        <v>343</v>
      </c>
      <c r="C14" s="63"/>
      <c r="D14" s="63"/>
      <c r="E14" s="63"/>
      <c r="F14" s="63"/>
      <c r="G14" s="63"/>
      <c r="H14" s="63"/>
      <c r="I14" s="63"/>
      <c r="J14" s="63"/>
    </row>
    <row r="15" customFormat="false" ht="27.75" hidden="false" customHeight="true" outlineLevel="0" collapsed="false">
      <c r="A15" s="61" t="s">
        <v>344</v>
      </c>
      <c r="B15" s="62" t="s">
        <v>345</v>
      </c>
      <c r="C15" s="62"/>
      <c r="D15" s="62"/>
      <c r="E15" s="62"/>
      <c r="F15" s="62"/>
      <c r="G15" s="62"/>
      <c r="H15" s="62"/>
      <c r="I15" s="62"/>
      <c r="J15" s="62"/>
    </row>
    <row r="16" customFormat="false" ht="27.75" hidden="false" customHeight="true" outlineLevel="0" collapsed="false">
      <c r="A16" s="61" t="s">
        <v>346</v>
      </c>
      <c r="B16" s="63" t="s">
        <v>347</v>
      </c>
      <c r="C16" s="63"/>
      <c r="D16" s="63"/>
      <c r="E16" s="63"/>
      <c r="F16" s="63"/>
      <c r="G16" s="63"/>
      <c r="H16" s="63"/>
      <c r="I16" s="63"/>
      <c r="J16" s="63"/>
    </row>
    <row r="17" customFormat="false" ht="27.75" hidden="false" customHeight="true" outlineLevel="0" collapsed="false">
      <c r="A17" s="61" t="s">
        <v>348</v>
      </c>
      <c r="B17" s="62" t="s">
        <v>349</v>
      </c>
      <c r="C17" s="62"/>
      <c r="D17" s="62"/>
      <c r="E17" s="62"/>
      <c r="F17" s="62"/>
      <c r="G17" s="62"/>
      <c r="H17" s="62"/>
      <c r="I17" s="62"/>
      <c r="J17" s="62"/>
    </row>
    <row r="18" customFormat="false" ht="27.75" hidden="false" customHeight="true" outlineLevel="0" collapsed="false">
      <c r="A18" s="61" t="s">
        <v>350</v>
      </c>
      <c r="B18" s="63" t="s">
        <v>351</v>
      </c>
      <c r="C18" s="63"/>
      <c r="D18" s="63"/>
      <c r="E18" s="63"/>
      <c r="F18" s="63"/>
      <c r="G18" s="63"/>
      <c r="H18" s="63"/>
      <c r="I18" s="63"/>
      <c r="J18" s="63"/>
    </row>
    <row r="19" customFormat="false" ht="27.75" hidden="false" customHeight="true" outlineLevel="0" collapsed="false">
      <c r="A19" s="61" t="s">
        <v>352</v>
      </c>
      <c r="B19" s="62" t="s">
        <v>353</v>
      </c>
      <c r="C19" s="62"/>
      <c r="D19" s="62"/>
      <c r="E19" s="62"/>
      <c r="F19" s="62"/>
      <c r="G19" s="62"/>
      <c r="H19" s="62"/>
      <c r="I19" s="62"/>
      <c r="J19" s="62"/>
    </row>
    <row r="20" customFormat="false" ht="27.75" hidden="false" customHeight="true" outlineLevel="0" collapsed="false">
      <c r="A20" s="61" t="s">
        <v>354</v>
      </c>
      <c r="B20" s="64" t="s">
        <v>355</v>
      </c>
      <c r="C20" s="64"/>
      <c r="D20" s="64"/>
      <c r="E20" s="64"/>
      <c r="F20" s="64"/>
      <c r="G20" s="64"/>
      <c r="H20" s="64"/>
      <c r="I20" s="64"/>
      <c r="J20" s="64"/>
    </row>
    <row r="22" customFormat="false" ht="25.5" hidden="false" customHeight="true" outlineLevel="0" collapsed="false">
      <c r="A22" s="42" t="s">
        <v>356</v>
      </c>
      <c r="B22" s="42"/>
    </row>
    <row r="23" customFormat="false" ht="27.75" hidden="false" customHeight="true" outlineLevel="0" collapsed="false">
      <c r="A23" s="61" t="s">
        <v>336</v>
      </c>
      <c r="B23" s="62" t="s">
        <v>357</v>
      </c>
      <c r="C23" s="62"/>
      <c r="D23" s="62"/>
      <c r="E23" s="62"/>
      <c r="F23" s="62"/>
      <c r="G23" s="62"/>
      <c r="H23" s="62"/>
      <c r="I23" s="62"/>
      <c r="J23" s="62"/>
    </row>
    <row r="24" customFormat="false" ht="27.75" hidden="false" customHeight="true" outlineLevel="0" collapsed="false">
      <c r="A24" s="61" t="s">
        <v>338</v>
      </c>
      <c r="B24" s="63" t="s">
        <v>358</v>
      </c>
      <c r="C24" s="63"/>
      <c r="D24" s="63"/>
      <c r="E24" s="63"/>
      <c r="F24" s="63"/>
      <c r="G24" s="63"/>
      <c r="H24" s="63"/>
      <c r="I24" s="63"/>
      <c r="J24" s="63"/>
    </row>
    <row r="25" customFormat="false" ht="27.75" hidden="false" customHeight="true" outlineLevel="0" collapsed="false">
      <c r="A25" s="61" t="s">
        <v>340</v>
      </c>
      <c r="B25" s="62" t="s">
        <v>359</v>
      </c>
      <c r="C25" s="62"/>
      <c r="D25" s="62"/>
      <c r="E25" s="62"/>
      <c r="F25" s="62"/>
      <c r="G25" s="62"/>
      <c r="H25" s="62"/>
      <c r="I25" s="62"/>
      <c r="J25" s="62"/>
    </row>
    <row r="26" customFormat="false" ht="27.75" hidden="false" customHeight="true" outlineLevel="0" collapsed="false">
      <c r="A26" s="61" t="s">
        <v>342</v>
      </c>
      <c r="B26" s="63" t="s">
        <v>360</v>
      </c>
      <c r="C26" s="63"/>
      <c r="D26" s="63"/>
      <c r="E26" s="63"/>
      <c r="F26" s="63"/>
      <c r="G26" s="63"/>
      <c r="H26" s="63"/>
      <c r="I26" s="63"/>
      <c r="J26" s="63"/>
    </row>
    <row r="27" customFormat="false" ht="27.75" hidden="false" customHeight="true" outlineLevel="0" collapsed="false">
      <c r="A27" s="61" t="s">
        <v>344</v>
      </c>
      <c r="B27" s="62" t="s">
        <v>361</v>
      </c>
      <c r="C27" s="62"/>
      <c r="D27" s="62"/>
      <c r="E27" s="62"/>
      <c r="F27" s="62"/>
      <c r="G27" s="62"/>
      <c r="H27" s="62"/>
      <c r="I27" s="62"/>
      <c r="J27" s="62"/>
    </row>
    <row r="28" customFormat="false" ht="27.75" hidden="false" customHeight="true" outlineLevel="0" collapsed="false">
      <c r="A28" s="61" t="s">
        <v>346</v>
      </c>
      <c r="B28" s="63" t="s">
        <v>362</v>
      </c>
      <c r="C28" s="63"/>
      <c r="D28" s="63"/>
      <c r="E28" s="63"/>
      <c r="F28" s="63"/>
      <c r="G28" s="63"/>
      <c r="H28" s="63"/>
      <c r="I28" s="63"/>
      <c r="J28" s="63"/>
    </row>
    <row r="29" customFormat="false" ht="27.75" hidden="false" customHeight="true" outlineLevel="0" collapsed="false">
      <c r="A29" s="61" t="s">
        <v>348</v>
      </c>
      <c r="B29" s="62" t="s">
        <v>363</v>
      </c>
      <c r="C29" s="62"/>
      <c r="D29" s="62"/>
      <c r="E29" s="62"/>
      <c r="F29" s="62"/>
      <c r="G29" s="62"/>
      <c r="H29" s="62"/>
      <c r="I29" s="62"/>
      <c r="J29" s="62"/>
    </row>
    <row r="30" customFormat="false" ht="27.75" hidden="false" customHeight="true" outlineLevel="0" collapsed="false">
      <c r="A30" s="61" t="s">
        <v>350</v>
      </c>
      <c r="B30" s="63" t="s">
        <v>364</v>
      </c>
      <c r="C30" s="63"/>
      <c r="D30" s="63"/>
      <c r="E30" s="63"/>
      <c r="F30" s="63"/>
      <c r="G30" s="63"/>
      <c r="H30" s="63"/>
      <c r="I30" s="63"/>
      <c r="J30" s="63"/>
    </row>
    <row r="31" customFormat="false" ht="27.75" hidden="false" customHeight="true" outlineLevel="0" collapsed="false">
      <c r="A31" s="61" t="s">
        <v>352</v>
      </c>
      <c r="B31" s="62" t="s">
        <v>365</v>
      </c>
      <c r="C31" s="62"/>
      <c r="D31" s="62"/>
      <c r="E31" s="62"/>
      <c r="F31" s="62"/>
      <c r="G31" s="62"/>
      <c r="H31" s="62"/>
      <c r="I31" s="62"/>
      <c r="J31" s="62"/>
    </row>
    <row r="32" customFormat="false" ht="27.75" hidden="false" customHeight="true" outlineLevel="0" collapsed="false">
      <c r="A32" s="61" t="s">
        <v>366</v>
      </c>
      <c r="B32" s="63" t="s">
        <v>367</v>
      </c>
      <c r="C32" s="63"/>
      <c r="D32" s="63"/>
      <c r="E32" s="63"/>
      <c r="F32" s="63"/>
      <c r="G32" s="63"/>
      <c r="H32" s="63"/>
      <c r="I32" s="63"/>
      <c r="J32" s="63"/>
    </row>
    <row r="33" customFormat="false" ht="27.75" hidden="false" customHeight="true" outlineLevel="0" collapsed="false">
      <c r="A33" s="61" t="s">
        <v>368</v>
      </c>
      <c r="B33" s="65" t="s">
        <v>369</v>
      </c>
      <c r="C33" s="65"/>
      <c r="D33" s="65"/>
      <c r="E33" s="65"/>
      <c r="F33" s="65"/>
      <c r="G33" s="65"/>
      <c r="H33" s="65"/>
      <c r="I33" s="65"/>
      <c r="J33" s="65"/>
    </row>
    <row r="35" customFormat="false" ht="25.5" hidden="false" customHeight="true" outlineLevel="0" collapsed="false">
      <c r="A35" s="66" t="s">
        <v>370</v>
      </c>
      <c r="B35" s="66"/>
    </row>
    <row r="36" customFormat="false" ht="27.75" hidden="false" customHeight="true" outlineLevel="0" collapsed="false">
      <c r="A36" s="61" t="s">
        <v>336</v>
      </c>
      <c r="B36" s="63" t="s">
        <v>371</v>
      </c>
      <c r="C36" s="63"/>
      <c r="D36" s="63"/>
      <c r="E36" s="63"/>
      <c r="F36" s="63"/>
      <c r="G36" s="63"/>
      <c r="H36" s="63"/>
      <c r="I36" s="63"/>
      <c r="J36" s="63"/>
    </row>
    <row r="37" customFormat="false" ht="27.75" hidden="false" customHeight="true" outlineLevel="0" collapsed="false">
      <c r="A37" s="61" t="s">
        <v>338</v>
      </c>
      <c r="B37" s="62" t="s">
        <v>372</v>
      </c>
      <c r="C37" s="62"/>
      <c r="D37" s="62"/>
      <c r="E37" s="62"/>
      <c r="F37" s="62"/>
      <c r="G37" s="62"/>
      <c r="H37" s="62"/>
      <c r="I37" s="62"/>
      <c r="J37" s="62"/>
    </row>
    <row r="38" customFormat="false" ht="27.75" hidden="false" customHeight="true" outlineLevel="0" collapsed="false">
      <c r="A38" s="61" t="s">
        <v>340</v>
      </c>
      <c r="B38" s="63" t="s">
        <v>373</v>
      </c>
      <c r="C38" s="63"/>
      <c r="D38" s="63"/>
      <c r="E38" s="63"/>
      <c r="F38" s="63"/>
      <c r="G38" s="63"/>
      <c r="H38" s="63"/>
      <c r="I38" s="63"/>
      <c r="J38" s="63"/>
    </row>
    <row r="39" customFormat="false" ht="27.75" hidden="false" customHeight="true" outlineLevel="0" collapsed="false">
      <c r="A39" s="61" t="s">
        <v>342</v>
      </c>
      <c r="B39" s="62" t="s">
        <v>374</v>
      </c>
      <c r="C39" s="62"/>
      <c r="D39" s="62"/>
      <c r="E39" s="62"/>
      <c r="F39" s="62"/>
      <c r="G39" s="62"/>
      <c r="H39" s="62"/>
      <c r="I39" s="62"/>
      <c r="J39" s="62"/>
    </row>
    <row r="40" customFormat="false" ht="27.75" hidden="false" customHeight="true" outlineLevel="0" collapsed="false">
      <c r="A40" s="61" t="s">
        <v>344</v>
      </c>
      <c r="B40" s="63" t="s">
        <v>375</v>
      </c>
      <c r="C40" s="63"/>
      <c r="D40" s="63"/>
      <c r="E40" s="63"/>
      <c r="F40" s="63"/>
      <c r="G40" s="63"/>
      <c r="H40" s="63"/>
      <c r="I40" s="63"/>
      <c r="J40" s="63"/>
    </row>
    <row r="41" customFormat="false" ht="27.75" hidden="false" customHeight="true" outlineLevel="0" collapsed="false">
      <c r="A41" s="61" t="s">
        <v>346</v>
      </c>
      <c r="B41" s="62" t="s">
        <v>376</v>
      </c>
      <c r="C41" s="62"/>
      <c r="D41" s="62"/>
      <c r="E41" s="62"/>
      <c r="F41" s="62"/>
      <c r="G41" s="62"/>
      <c r="H41" s="62"/>
      <c r="I41" s="62"/>
      <c r="J41" s="62"/>
    </row>
    <row r="42" customFormat="false" ht="27.75" hidden="false" customHeight="true" outlineLevel="0" collapsed="false">
      <c r="A42" s="61" t="s">
        <v>348</v>
      </c>
      <c r="B42" s="63" t="s">
        <v>377</v>
      </c>
      <c r="C42" s="63"/>
      <c r="D42" s="63"/>
      <c r="E42" s="63"/>
      <c r="F42" s="63"/>
      <c r="G42" s="63"/>
      <c r="H42" s="63"/>
      <c r="I42" s="63"/>
      <c r="J42" s="63"/>
    </row>
    <row r="43" customFormat="false" ht="27.75" hidden="false" customHeight="true" outlineLevel="0" collapsed="false">
      <c r="A43" s="61" t="s">
        <v>350</v>
      </c>
      <c r="B43" s="62" t="s">
        <v>378</v>
      </c>
      <c r="C43" s="62"/>
      <c r="D43" s="62"/>
      <c r="E43" s="62"/>
      <c r="F43" s="62"/>
      <c r="G43" s="62"/>
      <c r="H43" s="62"/>
      <c r="I43" s="62"/>
      <c r="J43" s="62"/>
    </row>
    <row r="44" customFormat="false" ht="27.75" hidden="false" customHeight="true" outlineLevel="0" collapsed="false">
      <c r="A44" s="61" t="s">
        <v>352</v>
      </c>
      <c r="B44" s="63" t="s">
        <v>379</v>
      </c>
      <c r="C44" s="63"/>
      <c r="D44" s="63"/>
      <c r="E44" s="63"/>
      <c r="F44" s="63"/>
      <c r="G44" s="63"/>
      <c r="H44" s="63"/>
      <c r="I44" s="63"/>
      <c r="J44" s="63"/>
    </row>
    <row r="45" customFormat="false" ht="27.75" hidden="false" customHeight="true" outlineLevel="0" collapsed="false">
      <c r="A45" s="61" t="s">
        <v>368</v>
      </c>
      <c r="B45" s="67" t="s">
        <v>380</v>
      </c>
      <c r="C45" s="67"/>
      <c r="D45" s="67"/>
      <c r="E45" s="67"/>
      <c r="F45" s="67"/>
      <c r="G45" s="67"/>
      <c r="H45" s="67"/>
      <c r="I45" s="67"/>
      <c r="J45" s="67"/>
    </row>
    <row r="46" customFormat="false" ht="27.75" hidden="false" customHeight="true" outlineLevel="0" collapsed="false">
      <c r="A46" s="61" t="s">
        <v>368</v>
      </c>
      <c r="B46" s="67" t="s">
        <v>381</v>
      </c>
      <c r="C46" s="67"/>
      <c r="D46" s="67"/>
      <c r="E46" s="67"/>
      <c r="F46" s="67"/>
      <c r="G46" s="67"/>
      <c r="H46" s="67"/>
      <c r="I46" s="67"/>
      <c r="J46" s="67"/>
    </row>
    <row r="48" customFormat="false" ht="25.5" hidden="false" customHeight="true" outlineLevel="0" collapsed="false">
      <c r="A48" s="42" t="s">
        <v>317</v>
      </c>
      <c r="B48" s="42"/>
    </row>
    <row r="49" customFormat="false" ht="31.5" hidden="false" customHeight="true" outlineLevel="0" collapsed="false">
      <c r="A49" s="32" t="s">
        <v>382</v>
      </c>
      <c r="B49" s="59" t="s">
        <v>383</v>
      </c>
    </row>
    <row r="50" customFormat="false" ht="31.5" hidden="false" customHeight="true" outlineLevel="0" collapsed="false">
      <c r="A50" s="32" t="s">
        <v>384</v>
      </c>
      <c r="B50" s="59" t="s">
        <v>385</v>
      </c>
    </row>
    <row r="51" customFormat="false" ht="31.5" hidden="false" customHeight="true" outlineLevel="0" collapsed="false">
      <c r="A51" s="32" t="s">
        <v>386</v>
      </c>
      <c r="B51" s="59" t="s">
        <v>387</v>
      </c>
    </row>
    <row r="52" customFormat="false" ht="31.5" hidden="false" customHeight="true" outlineLevel="0" collapsed="false">
      <c r="A52" s="32" t="s">
        <v>388</v>
      </c>
      <c r="B52" s="59" t="s">
        <v>389</v>
      </c>
    </row>
    <row r="53" customFormat="false" ht="31.5" hidden="false" customHeight="true" outlineLevel="0" collapsed="false">
      <c r="A53" s="32" t="s">
        <v>390</v>
      </c>
      <c r="B53" s="59" t="s">
        <v>391</v>
      </c>
    </row>
    <row r="55" customFormat="false" ht="31.5" hidden="false" customHeight="true" outlineLevel="0" collapsed="false">
      <c r="A55" s="46" t="s">
        <v>392</v>
      </c>
      <c r="B55" s="46"/>
    </row>
  </sheetData>
  <mergeCells count="44">
    <mergeCell ref="A1:B1"/>
    <mergeCell ref="A2:B2"/>
    <mergeCell ref="A4:B4"/>
    <mergeCell ref="A5:B5"/>
    <mergeCell ref="A6:B6"/>
    <mergeCell ref="A7:B7"/>
    <mergeCell ref="A8:B8"/>
    <mergeCell ref="A10:B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A22:B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A35:B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A48:B48"/>
    <mergeCell ref="A55:B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2"/>
  </cols>
  <sheetData>
    <row r="1" customFormat="false" ht="42" hidden="false" customHeight="true" outlineLevel="0" collapsed="false">
      <c r="A1" s="1" t="s">
        <v>393</v>
      </c>
      <c r="B1" s="1"/>
    </row>
    <row r="2" customFormat="false" ht="24" hidden="false" customHeight="true" outlineLevel="0" collapsed="false">
      <c r="A2" s="2" t="s">
        <v>394</v>
      </c>
      <c r="B2" s="2"/>
    </row>
    <row r="4" customFormat="false" ht="25.5" hidden="false" customHeight="true" outlineLevel="0" collapsed="false">
      <c r="A4" s="3" t="s">
        <v>395</v>
      </c>
      <c r="B4" s="3"/>
    </row>
    <row r="5" customFormat="false" ht="31.5" hidden="false" customHeight="true" outlineLevel="0" collapsed="false">
      <c r="A5" s="25" t="s">
        <v>396</v>
      </c>
      <c r="B5" s="25"/>
    </row>
    <row r="7" customFormat="false" ht="25.5" hidden="false" customHeight="true" outlineLevel="0" collapsed="false">
      <c r="A7" s="3" t="s">
        <v>397</v>
      </c>
      <c r="B7" s="3"/>
    </row>
    <row r="8" customFormat="false" ht="31.5" hidden="false" customHeight="true" outlineLevel="0" collapsed="false">
      <c r="A8" s="68" t="s">
        <v>398</v>
      </c>
      <c r="B8" s="8" t="s">
        <v>399</v>
      </c>
    </row>
    <row r="9" customFormat="false" ht="31.5" hidden="false" customHeight="true" outlineLevel="0" collapsed="false">
      <c r="A9" s="69" t="s">
        <v>400</v>
      </c>
      <c r="B9" s="70" t="s">
        <v>401</v>
      </c>
    </row>
    <row r="10" customFormat="false" ht="31.5" hidden="false" customHeight="true" outlineLevel="0" collapsed="false">
      <c r="A10" s="71" t="s">
        <v>402</v>
      </c>
      <c r="B10" s="72" t="s">
        <v>403</v>
      </c>
    </row>
    <row r="11" customFormat="false" ht="31.5" hidden="false" customHeight="true" outlineLevel="0" collapsed="false">
      <c r="A11" s="73" t="s">
        <v>404</v>
      </c>
      <c r="B11" s="74" t="s">
        <v>405</v>
      </c>
    </row>
    <row r="13" customFormat="false" ht="25.5" hidden="false" customHeight="true" outlineLevel="0" collapsed="false">
      <c r="A13" s="24" t="s">
        <v>406</v>
      </c>
      <c r="B13" s="24"/>
    </row>
    <row r="14" customFormat="false" ht="36" hidden="false" customHeight="true" outlineLevel="0" collapsed="false">
      <c r="A14" s="32" t="s">
        <v>407</v>
      </c>
      <c r="B14" s="75" t="s">
        <v>408</v>
      </c>
    </row>
    <row r="15" customFormat="false" ht="36" hidden="false" customHeight="true" outlineLevel="0" collapsed="false">
      <c r="A15" s="32" t="s">
        <v>409</v>
      </c>
      <c r="B15" s="76" t="s">
        <v>410</v>
      </c>
    </row>
    <row r="16" customFormat="false" ht="36" hidden="false" customHeight="true" outlineLevel="0" collapsed="false">
      <c r="A16" s="32" t="s">
        <v>411</v>
      </c>
      <c r="B16" s="75" t="s">
        <v>412</v>
      </c>
    </row>
    <row r="17" customFormat="false" ht="36" hidden="false" customHeight="true" outlineLevel="0" collapsed="false">
      <c r="A17" s="32" t="s">
        <v>413</v>
      </c>
      <c r="B17" s="76" t="s">
        <v>414</v>
      </c>
    </row>
    <row r="18" customFormat="false" ht="36" hidden="false" customHeight="true" outlineLevel="0" collapsed="false">
      <c r="A18" s="32" t="s">
        <v>415</v>
      </c>
      <c r="B18" s="75" t="s">
        <v>416</v>
      </c>
    </row>
    <row r="19" customFormat="false" ht="36" hidden="false" customHeight="true" outlineLevel="0" collapsed="false">
      <c r="A19" s="32" t="s">
        <v>417</v>
      </c>
      <c r="B19" s="76" t="s">
        <v>418</v>
      </c>
    </row>
    <row r="20" customFormat="false" ht="36" hidden="false" customHeight="true" outlineLevel="0" collapsed="false">
      <c r="A20" s="32" t="s">
        <v>419</v>
      </c>
      <c r="B20" s="75" t="s">
        <v>420</v>
      </c>
    </row>
    <row r="21" customFormat="false" ht="36" hidden="false" customHeight="true" outlineLevel="0" collapsed="false">
      <c r="A21" s="32" t="s">
        <v>421</v>
      </c>
      <c r="B21" s="76" t="s">
        <v>422</v>
      </c>
    </row>
    <row r="22" customFormat="false" ht="36" hidden="false" customHeight="true" outlineLevel="0" collapsed="false">
      <c r="A22" s="32" t="s">
        <v>423</v>
      </c>
      <c r="B22" s="75" t="s">
        <v>424</v>
      </c>
    </row>
    <row r="23" customFormat="false" ht="36" hidden="false" customHeight="true" outlineLevel="0" collapsed="false">
      <c r="A23" s="32" t="s">
        <v>425</v>
      </c>
      <c r="B23" s="76" t="s">
        <v>426</v>
      </c>
    </row>
    <row r="24" customFormat="false" ht="36" hidden="false" customHeight="true" outlineLevel="0" collapsed="false">
      <c r="A24" s="32" t="s">
        <v>427</v>
      </c>
      <c r="B24" s="75" t="s">
        <v>428</v>
      </c>
    </row>
    <row r="25" customFormat="false" ht="36" hidden="false" customHeight="true" outlineLevel="0" collapsed="false">
      <c r="A25" s="32" t="s">
        <v>429</v>
      </c>
      <c r="B25" s="76" t="s">
        <v>430</v>
      </c>
    </row>
    <row r="26" customFormat="false" ht="36" hidden="false" customHeight="true" outlineLevel="0" collapsed="false">
      <c r="A26" s="32" t="s">
        <v>431</v>
      </c>
      <c r="B26" s="75" t="s">
        <v>432</v>
      </c>
    </row>
    <row r="27" customFormat="false" ht="36" hidden="false" customHeight="true" outlineLevel="0" collapsed="false">
      <c r="A27" s="32" t="s">
        <v>433</v>
      </c>
      <c r="B27" s="76" t="s">
        <v>434</v>
      </c>
    </row>
    <row r="28" customFormat="false" ht="36" hidden="false" customHeight="true" outlineLevel="0" collapsed="false">
      <c r="A28" s="32" t="s">
        <v>435</v>
      </c>
      <c r="B28" s="49" t="s">
        <v>436</v>
      </c>
    </row>
    <row r="29" customFormat="false" ht="36" hidden="false" customHeight="true" outlineLevel="0" collapsed="false">
      <c r="A29" s="77" t="s">
        <v>437</v>
      </c>
      <c r="B29" s="78" t="s">
        <v>438</v>
      </c>
    </row>
    <row r="31" customFormat="false" ht="25.5" hidden="false" customHeight="true" outlineLevel="0" collapsed="false">
      <c r="A31" s="50" t="s">
        <v>439</v>
      </c>
      <c r="B31" s="50"/>
    </row>
    <row r="32" customFormat="false" ht="25.5" hidden="false" customHeight="true" outlineLevel="0" collapsed="false">
      <c r="A32" s="12" t="s">
        <v>440</v>
      </c>
      <c r="B32" s="12"/>
    </row>
    <row r="33" customFormat="false" ht="25.5" hidden="false" customHeight="true" outlineLevel="0" collapsed="false">
      <c r="A33" s="12" t="s">
        <v>441</v>
      </c>
      <c r="B33" s="12"/>
    </row>
    <row r="34" customFormat="false" ht="25.5" hidden="false" customHeight="true" outlineLevel="0" collapsed="false">
      <c r="A34" s="12" t="s">
        <v>442</v>
      </c>
      <c r="B34" s="12"/>
    </row>
    <row r="35" customFormat="false" ht="25.5" hidden="false" customHeight="true" outlineLevel="0" collapsed="false">
      <c r="A35" s="12" t="s">
        <v>443</v>
      </c>
      <c r="B35" s="12"/>
    </row>
    <row r="36" customFormat="false" ht="25.5" hidden="false" customHeight="true" outlineLevel="0" collapsed="false">
      <c r="A36" s="12" t="s">
        <v>444</v>
      </c>
      <c r="B36" s="12"/>
    </row>
    <row r="37" customFormat="false" ht="25.5" hidden="false" customHeight="true" outlineLevel="0" collapsed="false">
      <c r="A37" s="12" t="s">
        <v>445</v>
      </c>
      <c r="B37" s="12"/>
    </row>
    <row r="38" customFormat="false" ht="25.5" hidden="false" customHeight="true" outlineLevel="0" collapsed="false">
      <c r="A38" s="12" t="s">
        <v>446</v>
      </c>
      <c r="B38" s="12"/>
    </row>
    <row r="39" customFormat="false" ht="25.5" hidden="false" customHeight="true" outlineLevel="0" collapsed="false">
      <c r="A39" s="12" t="s">
        <v>447</v>
      </c>
      <c r="B39" s="12"/>
    </row>
    <row r="41" customFormat="false" ht="25.5" hidden="false" customHeight="true" outlineLevel="0" collapsed="false">
      <c r="A41" s="42" t="s">
        <v>448</v>
      </c>
      <c r="B41" s="42"/>
    </row>
    <row r="42" customFormat="false" ht="33.75" hidden="false" customHeight="true" outlineLevel="0" collapsed="false">
      <c r="A42" s="32" t="s">
        <v>449</v>
      </c>
      <c r="B42" s="59" t="s">
        <v>450</v>
      </c>
    </row>
    <row r="43" customFormat="false" ht="33.75" hidden="false" customHeight="true" outlineLevel="0" collapsed="false">
      <c r="A43" s="32" t="s">
        <v>451</v>
      </c>
      <c r="B43" s="59" t="s">
        <v>452</v>
      </c>
    </row>
    <row r="44" customFormat="false" ht="33.75" hidden="false" customHeight="true" outlineLevel="0" collapsed="false">
      <c r="A44" s="32" t="s">
        <v>453</v>
      </c>
      <c r="B44" s="59" t="s">
        <v>454</v>
      </c>
    </row>
    <row r="45" customFormat="false" ht="33.75" hidden="false" customHeight="true" outlineLevel="0" collapsed="false">
      <c r="A45" s="32" t="s">
        <v>455</v>
      </c>
      <c r="B45" s="59" t="s">
        <v>456</v>
      </c>
    </row>
    <row r="46" customFormat="false" ht="33.75" hidden="false" customHeight="true" outlineLevel="0" collapsed="false">
      <c r="A46" s="32" t="s">
        <v>457</v>
      </c>
      <c r="B46" s="59" t="s">
        <v>458</v>
      </c>
    </row>
  </sheetData>
  <mergeCells count="16">
    <mergeCell ref="A1:B1"/>
    <mergeCell ref="A2:B2"/>
    <mergeCell ref="A4:B4"/>
    <mergeCell ref="A5:B5"/>
    <mergeCell ref="A7:B7"/>
    <mergeCell ref="A13:B13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42" hidden="false" customHeight="true" outlineLevel="0" collapsed="false">
      <c r="A1" s="1" t="s">
        <v>459</v>
      </c>
      <c r="B1" s="1"/>
    </row>
    <row r="2" customFormat="false" ht="24" hidden="false" customHeight="true" outlineLevel="0" collapsed="false">
      <c r="A2" s="2" t="s">
        <v>460</v>
      </c>
      <c r="B2" s="2"/>
    </row>
    <row r="4" customFormat="false" ht="31.5" hidden="false" customHeight="true" outlineLevel="0" collapsed="false">
      <c r="A4" s="46" t="s">
        <v>461</v>
      </c>
      <c r="B4" s="46"/>
    </row>
    <row r="6" customFormat="false" ht="25.5" hidden="false" customHeight="true" outlineLevel="0" collapsed="false">
      <c r="A6" s="24" t="s">
        <v>462</v>
      </c>
      <c r="B6" s="24"/>
    </row>
    <row r="7" customFormat="false" ht="24" hidden="false" customHeight="true" outlineLevel="0" collapsed="false">
      <c r="A7" s="26" t="s">
        <v>463</v>
      </c>
      <c r="B7" s="26" t="s">
        <v>267</v>
      </c>
      <c r="C7" s="26" t="s">
        <v>268</v>
      </c>
    </row>
    <row r="8" customFormat="false" ht="19.5" hidden="false" customHeight="true" outlineLevel="0" collapsed="false">
      <c r="A8" s="37" t="s">
        <v>464</v>
      </c>
      <c r="B8" s="53" t="s">
        <v>271</v>
      </c>
      <c r="C8" s="53" t="s">
        <v>272</v>
      </c>
    </row>
    <row r="9" customFormat="false" ht="19.5" hidden="false" customHeight="true" outlineLevel="0" collapsed="false">
      <c r="A9" s="40" t="s">
        <v>465</v>
      </c>
      <c r="B9" s="53" t="s">
        <v>275</v>
      </c>
      <c r="C9" s="53" t="s">
        <v>272</v>
      </c>
    </row>
    <row r="10" customFormat="false" ht="19.5" hidden="false" customHeight="true" outlineLevel="0" collapsed="false">
      <c r="A10" s="37" t="s">
        <v>466</v>
      </c>
      <c r="B10" s="56" t="s">
        <v>278</v>
      </c>
      <c r="C10" s="56" t="s">
        <v>279</v>
      </c>
    </row>
    <row r="11" customFormat="false" ht="19.5" hidden="false" customHeight="true" outlineLevel="0" collapsed="false">
      <c r="A11" s="40" t="s">
        <v>467</v>
      </c>
      <c r="B11" s="58" t="s">
        <v>282</v>
      </c>
      <c r="C11" s="58" t="s">
        <v>283</v>
      </c>
    </row>
    <row r="12" customFormat="false" ht="19.5" hidden="false" customHeight="true" outlineLevel="0" collapsed="false">
      <c r="A12" s="37" t="s">
        <v>468</v>
      </c>
      <c r="B12" s="53" t="s">
        <v>286</v>
      </c>
      <c r="C12" s="53" t="s">
        <v>272</v>
      </c>
    </row>
    <row r="13" customFormat="false" ht="19.5" hidden="false" customHeight="true" outlineLevel="0" collapsed="false">
      <c r="A13" s="40" t="s">
        <v>469</v>
      </c>
      <c r="B13" s="56" t="s">
        <v>470</v>
      </c>
      <c r="C13" s="56" t="s">
        <v>279</v>
      </c>
    </row>
    <row r="14" customFormat="false" ht="19.5" hidden="false" customHeight="true" outlineLevel="0" collapsed="false">
      <c r="A14" s="37" t="s">
        <v>471</v>
      </c>
      <c r="B14" s="56" t="s">
        <v>472</v>
      </c>
      <c r="C14" s="56" t="s">
        <v>279</v>
      </c>
    </row>
    <row r="15" customFormat="false" ht="19.5" hidden="false" customHeight="true" outlineLevel="0" collapsed="false">
      <c r="A15" s="40" t="s">
        <v>473</v>
      </c>
      <c r="B15" s="58" t="s">
        <v>289</v>
      </c>
      <c r="C15" s="58" t="s">
        <v>283</v>
      </c>
    </row>
    <row r="16" customFormat="false" ht="19.5" hidden="false" customHeight="true" outlineLevel="0" collapsed="false">
      <c r="A16" s="37" t="s">
        <v>474</v>
      </c>
      <c r="B16" s="56" t="s">
        <v>475</v>
      </c>
      <c r="C16" s="56" t="s">
        <v>279</v>
      </c>
    </row>
    <row r="17" customFormat="false" ht="19.5" hidden="false" customHeight="true" outlineLevel="0" collapsed="false">
      <c r="A17" s="40" t="s">
        <v>476</v>
      </c>
      <c r="B17" s="58" t="s">
        <v>295</v>
      </c>
      <c r="C17" s="58" t="s">
        <v>283</v>
      </c>
    </row>
    <row r="18" customFormat="false" ht="19.5" hidden="false" customHeight="true" outlineLevel="0" collapsed="false">
      <c r="A18" s="37" t="s">
        <v>477</v>
      </c>
      <c r="B18" s="56" t="s">
        <v>298</v>
      </c>
      <c r="C18" s="56" t="s">
        <v>279</v>
      </c>
    </row>
    <row r="19" customFormat="false" ht="19.5" hidden="false" customHeight="true" outlineLevel="0" collapsed="false">
      <c r="A19" s="40" t="s">
        <v>478</v>
      </c>
      <c r="B19" s="58" t="s">
        <v>301</v>
      </c>
      <c r="C19" s="58" t="s">
        <v>283</v>
      </c>
    </row>
    <row r="20" customFormat="false" ht="19.5" hidden="false" customHeight="true" outlineLevel="0" collapsed="false">
      <c r="A20" s="37" t="s">
        <v>479</v>
      </c>
      <c r="B20" s="56" t="s">
        <v>304</v>
      </c>
      <c r="C20" s="56" t="s">
        <v>279</v>
      </c>
    </row>
    <row r="21" customFormat="false" ht="19.5" hidden="false" customHeight="true" outlineLevel="0" collapsed="false">
      <c r="A21" s="40" t="s">
        <v>480</v>
      </c>
      <c r="B21" s="58" t="s">
        <v>307</v>
      </c>
      <c r="C21" s="58" t="s">
        <v>283</v>
      </c>
    </row>
    <row r="22" customFormat="false" ht="19.5" hidden="false" customHeight="true" outlineLevel="0" collapsed="false">
      <c r="A22" s="37" t="s">
        <v>481</v>
      </c>
      <c r="B22" s="56" t="s">
        <v>310</v>
      </c>
      <c r="C22" s="56" t="s">
        <v>279</v>
      </c>
    </row>
    <row r="23" customFormat="false" ht="19.5" hidden="false" customHeight="true" outlineLevel="0" collapsed="false">
      <c r="A23" s="40" t="s">
        <v>482</v>
      </c>
      <c r="B23" s="56" t="s">
        <v>313</v>
      </c>
      <c r="C23" s="56" t="s">
        <v>279</v>
      </c>
    </row>
    <row r="24" customFormat="false" ht="19.5" hidden="false" customHeight="true" outlineLevel="0" collapsed="false">
      <c r="A24" s="37" t="s">
        <v>483</v>
      </c>
      <c r="B24" s="53" t="s">
        <v>316</v>
      </c>
      <c r="C24" s="53" t="s">
        <v>272</v>
      </c>
    </row>
    <row r="25" customFormat="false" ht="25.5" hidden="false" customHeight="true" outlineLevel="0" collapsed="false">
      <c r="A25" s="7" t="s">
        <v>484</v>
      </c>
      <c r="B25" s="7"/>
      <c r="C25" s="56" t="s">
        <v>279</v>
      </c>
    </row>
    <row r="26" customFormat="false" ht="21.75" hidden="false" customHeight="true" outlineLevel="0" collapsed="false">
      <c r="A26" s="4" t="s">
        <v>485</v>
      </c>
      <c r="B26" s="6" t="s">
        <v>486</v>
      </c>
      <c r="C26" s="6"/>
    </row>
    <row r="27" customFormat="false" ht="21.75" hidden="false" customHeight="true" outlineLevel="0" collapsed="false">
      <c r="A27" s="4" t="s">
        <v>487</v>
      </c>
      <c r="B27" s="5" t="s">
        <v>488</v>
      </c>
      <c r="C27" s="5"/>
    </row>
    <row r="28" customFormat="false" ht="21.75" hidden="false" customHeight="true" outlineLevel="0" collapsed="false">
      <c r="A28" s="4" t="s">
        <v>489</v>
      </c>
      <c r="B28" s="6" t="s">
        <v>490</v>
      </c>
      <c r="C28" s="6"/>
    </row>
    <row r="29" customFormat="false" ht="21.75" hidden="false" customHeight="true" outlineLevel="0" collapsed="false">
      <c r="A29" s="4" t="s">
        <v>491</v>
      </c>
      <c r="B29" s="5" t="s">
        <v>492</v>
      </c>
      <c r="C29" s="5"/>
    </row>
    <row r="30" customFormat="false" ht="21.75" hidden="false" customHeight="true" outlineLevel="0" collapsed="false">
      <c r="A30" s="4" t="s">
        <v>493</v>
      </c>
      <c r="B30" s="6" t="s">
        <v>494</v>
      </c>
      <c r="C30" s="6"/>
    </row>
    <row r="31" customFormat="false" ht="21.75" hidden="false" customHeight="true" outlineLevel="0" collapsed="false">
      <c r="A31" s="4" t="s">
        <v>495</v>
      </c>
      <c r="B31" s="5" t="s">
        <v>496</v>
      </c>
      <c r="C31" s="5"/>
    </row>
    <row r="32" customFormat="false" ht="21.75" hidden="false" customHeight="true" outlineLevel="0" collapsed="false">
      <c r="A32" s="4" t="s">
        <v>497</v>
      </c>
      <c r="B32" s="19" t="s">
        <v>498</v>
      </c>
      <c r="C32" s="19"/>
    </row>
    <row r="33" customFormat="false" ht="21.75" hidden="false" customHeight="true" outlineLevel="0" collapsed="false">
      <c r="A33" s="4" t="s">
        <v>499</v>
      </c>
      <c r="B33" s="15" t="s">
        <v>500</v>
      </c>
      <c r="C33" s="15"/>
    </row>
    <row r="34" customFormat="false" ht="21.75" hidden="false" customHeight="true" outlineLevel="0" collapsed="false">
      <c r="A34" s="4" t="s">
        <v>501</v>
      </c>
      <c r="B34" s="6" t="s">
        <v>502</v>
      </c>
      <c r="C34" s="6"/>
    </row>
    <row r="35" customFormat="false" ht="21.75" hidden="false" customHeight="true" outlineLevel="0" collapsed="false">
      <c r="A35" s="4" t="s">
        <v>503</v>
      </c>
      <c r="B35" s="5" t="s">
        <v>504</v>
      </c>
      <c r="C35" s="5"/>
    </row>
    <row r="36" customFormat="false" ht="21.75" hidden="false" customHeight="true" outlineLevel="0" collapsed="false">
      <c r="A36" s="4" t="s">
        <v>505</v>
      </c>
      <c r="B36" s="6" t="s">
        <v>506</v>
      </c>
      <c r="C36" s="6"/>
    </row>
    <row r="37" customFormat="false" ht="21.75" hidden="false" customHeight="true" outlineLevel="0" collapsed="false">
      <c r="A37" s="4" t="s">
        <v>507</v>
      </c>
      <c r="B37" s="79" t="s">
        <v>508</v>
      </c>
      <c r="C37" s="79"/>
    </row>
    <row r="38" customFormat="false" ht="21.75" hidden="false" customHeight="true" outlineLevel="0" collapsed="false">
      <c r="A38" s="4" t="s">
        <v>509</v>
      </c>
      <c r="B38" s="19" t="s">
        <v>510</v>
      </c>
      <c r="C38" s="19"/>
    </row>
    <row r="39" customFormat="false" ht="21.75" hidden="false" customHeight="true" outlineLevel="0" collapsed="false">
      <c r="A39" s="4" t="s">
        <v>511</v>
      </c>
      <c r="B39" s="5" t="s">
        <v>506</v>
      </c>
      <c r="C39" s="5"/>
    </row>
    <row r="40" customFormat="false" ht="21.75" hidden="false" customHeight="true" outlineLevel="0" collapsed="false">
      <c r="A40" s="4" t="s">
        <v>512</v>
      </c>
      <c r="B40" s="6" t="s">
        <v>513</v>
      </c>
      <c r="C40" s="6"/>
    </row>
    <row r="41" customFormat="false" ht="21.75" hidden="false" customHeight="true" outlineLevel="0" collapsed="false">
      <c r="A41" s="4" t="s">
        <v>514</v>
      </c>
      <c r="B41" s="5" t="s">
        <v>515</v>
      </c>
      <c r="C41" s="5"/>
    </row>
    <row r="42" customFormat="false" ht="21.75" hidden="false" customHeight="true" outlineLevel="0" collapsed="false">
      <c r="A42" s="4" t="s">
        <v>516</v>
      </c>
      <c r="B42" s="6" t="s">
        <v>517</v>
      </c>
      <c r="C42" s="6"/>
    </row>
    <row r="43" customFormat="false" ht="21.75" hidden="false" customHeight="true" outlineLevel="0" collapsed="false">
      <c r="A43" s="4" t="s">
        <v>518</v>
      </c>
      <c r="B43" s="5" t="s">
        <v>519</v>
      </c>
      <c r="C43" s="5"/>
    </row>
    <row r="44" customFormat="false" ht="21.75" hidden="false" customHeight="true" outlineLevel="0" collapsed="false">
      <c r="A44" s="4" t="s">
        <v>520</v>
      </c>
      <c r="B44" s="6" t="s">
        <v>521</v>
      </c>
      <c r="C44" s="6"/>
    </row>
    <row r="45" customFormat="false" ht="21.75" hidden="false" customHeight="true" outlineLevel="0" collapsed="false">
      <c r="A45" s="4" t="s">
        <v>522</v>
      </c>
      <c r="B45" s="15" t="s">
        <v>523</v>
      </c>
      <c r="C45" s="15"/>
    </row>
    <row r="47" customFormat="false" ht="25.5" hidden="false" customHeight="true" outlineLevel="0" collapsed="false">
      <c r="A47" s="42" t="s">
        <v>524</v>
      </c>
      <c r="B47" s="42"/>
    </row>
    <row r="48" customFormat="false" ht="39.75" hidden="false" customHeight="true" outlineLevel="0" collapsed="false">
      <c r="A48" s="80" t="s">
        <v>525</v>
      </c>
      <c r="B48" s="37" t="s">
        <v>526</v>
      </c>
      <c r="C48" s="37"/>
    </row>
    <row r="49" customFormat="false" ht="39.75" hidden="false" customHeight="true" outlineLevel="0" collapsed="false">
      <c r="A49" s="80" t="s">
        <v>527</v>
      </c>
      <c r="B49" s="40" t="s">
        <v>528</v>
      </c>
      <c r="C49" s="40"/>
    </row>
    <row r="50" customFormat="false" ht="39.75" hidden="false" customHeight="true" outlineLevel="0" collapsed="false">
      <c r="A50" s="80" t="s">
        <v>529</v>
      </c>
      <c r="B50" s="37" t="s">
        <v>530</v>
      </c>
      <c r="C50" s="37"/>
    </row>
    <row r="51" customFormat="false" ht="39.75" hidden="false" customHeight="true" outlineLevel="0" collapsed="false">
      <c r="A51" s="80" t="s">
        <v>531</v>
      </c>
      <c r="B51" s="40" t="s">
        <v>532</v>
      </c>
      <c r="C51" s="40"/>
    </row>
    <row r="52" customFormat="false" ht="39.75" hidden="false" customHeight="true" outlineLevel="0" collapsed="false">
      <c r="A52" s="80" t="s">
        <v>533</v>
      </c>
      <c r="B52" s="37" t="s">
        <v>534</v>
      </c>
      <c r="C52" s="37"/>
    </row>
  </sheetData>
  <mergeCells count="31">
    <mergeCell ref="A1:B1"/>
    <mergeCell ref="A2:B2"/>
    <mergeCell ref="A4:B4"/>
    <mergeCell ref="A6:B6"/>
    <mergeCell ref="A25:B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7:B47"/>
    <mergeCell ref="B48:C48"/>
    <mergeCell ref="B49:C49"/>
    <mergeCell ref="B50:C50"/>
    <mergeCell ref="B51:C51"/>
    <mergeCell ref="B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2026-07-28T07:30:12Z</dcterms:created>
  <dc:creator>openpyxl</dc:creator>
  <dc:description/>
  <dc:language>en-US</dc:language>
  <cp:lastModifiedBy/>
  <dcterms:modified xsi:type="dcterms:W3CDTF">2026-07-28T07:30:12Z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