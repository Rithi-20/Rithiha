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 &amp; Guide" sheetId="1" r:id="rId5"/>
    <sheet state="visible" name="1 ─ CF Custom Rules" sheetId="2" r:id="rId6"/>
    <sheet state="visible" name="2 ─ Formula CF" sheetId="3" r:id="rId7"/>
    <sheet state="visible" name="3 ─ Rules Manager" sheetId="4" r:id="rId8"/>
    <sheet state="visible" name="4 ─ Advanced Filter" sheetId="5" r:id="rId9"/>
  </sheets>
  <definedNames/>
  <calcPr/>
</workbook>
</file>

<file path=xl/sharedStrings.xml><?xml version="1.0" encoding="utf-8"?>
<sst xmlns="http://schemas.openxmlformats.org/spreadsheetml/2006/main" count="669" uniqueCount="220">
  <si>
    <t>CF_Filter_Practice.xlsx  |  Advanced Conditional Formatting &amp; Filtering</t>
  </si>
  <si>
    <t>Session: Apply Advanced Conditional Formatting and Filtering  |  90 Minutes</t>
  </si>
  <si>
    <t>COLOUR LEGEND</t>
  </si>
  <si>
    <t>Yellow label / header</t>
  </si>
  <si>
    <t>→ Trainer instruction label</t>
  </si>
  <si>
    <t>Green instruction text</t>
  </si>
  <si>
    <t>→ Student task or data-entry area</t>
  </si>
  <si>
    <t>Light blue data cell</t>
  </si>
  <si>
    <t>→ Pre-filled sample data (do not delete)</t>
  </si>
  <si>
    <t>Red-tinted row</t>
  </si>
  <si>
    <t>→ Deliberately invalid / outlier data for audit exercises</t>
  </si>
  <si>
    <t>White with border</t>
  </si>
  <si>
    <t>→ Student work area — type your answers or build rules</t>
  </si>
  <si>
    <t>Sheet</t>
  </si>
  <si>
    <t>Topic</t>
  </si>
  <si>
    <t>Objective</t>
  </si>
  <si>
    <t>Trainer Demo</t>
  </si>
  <si>
    <t>Student Practical</t>
  </si>
  <si>
    <t>1 ─ CF Custom Rules</t>
  </si>
  <si>
    <t>Custom Conditional Formatting Presets</t>
  </si>
  <si>
    <t>Objective 1</t>
  </si>
  <si>
    <t>12 min</t>
  </si>
  <si>
    <t>10 min</t>
  </si>
  <si>
    <t>2 ─ Formula CF</t>
  </si>
  <si>
    <t>Formula-Based Conditional Formatting</t>
  </si>
  <si>
    <t>Objective 2</t>
  </si>
  <si>
    <t>8 min</t>
  </si>
  <si>
    <t>3 ─ Rules Manager</t>
  </si>
  <si>
    <t>Managing Conditional Formatting Rules</t>
  </si>
  <si>
    <t>Objective 3</t>
  </si>
  <si>
    <t>6 min</t>
  </si>
  <si>
    <t>7 min</t>
  </si>
  <si>
    <t>4 ─ Advanced Filter</t>
  </si>
  <si>
    <t>Advanced Filtering Options</t>
  </si>
  <si>
    <t>Objective 4</t>
  </si>
  <si>
    <t>15 min</t>
  </si>
  <si>
    <t>SHEET 1: Custom Conditional Formatting Rules  |  Topic 1 — Trainer Demo + Student Practice</t>
  </si>
  <si>
    <t>🟡  TRAINER DEMO AREA — Apply CF presets live. Dataset: 20 employees, Q1–Q4 sales.</t>
  </si>
  <si>
    <t>Employee</t>
  </si>
  <si>
    <t>Region</t>
  </si>
  <si>
    <t>Dept</t>
  </si>
  <si>
    <t>Q1 Sales</t>
  </si>
  <si>
    <t>Q2 Sales</t>
  </si>
  <si>
    <t>Q3 Sales</t>
  </si>
  <si>
    <t>Q4 Sales</t>
  </si>
  <si>
    <t>Annual Total</t>
  </si>
  <si>
    <t>% Growth</t>
  </si>
  <si>
    <t>Due Date</t>
  </si>
  <si>
    <t>Status</t>
  </si>
  <si>
    <t>Ahmed Al Rashidi</t>
  </si>
  <si>
    <t>North</t>
  </si>
  <si>
    <t>Sales</t>
  </si>
  <si>
    <t>Active</t>
  </si>
  <si>
    <t>Sarah Johnson</t>
  </si>
  <si>
    <t>South</t>
  </si>
  <si>
    <t>Marketing</t>
  </si>
  <si>
    <t>Mohammed Al Farsi</t>
  </si>
  <si>
    <t>East</t>
  </si>
  <si>
    <t>Finance</t>
  </si>
  <si>
    <t>Priya Sharma</t>
  </si>
  <si>
    <t>West</t>
  </si>
  <si>
    <t>Operations</t>
  </si>
  <si>
    <t>Inactive</t>
  </si>
  <si>
    <t>Khalid Al Mansoori</t>
  </si>
  <si>
    <t>HR</t>
  </si>
  <si>
    <t>Emma Williams</t>
  </si>
  <si>
    <t>Fatima Al Zaabi</t>
  </si>
  <si>
    <t>Daniel Brown</t>
  </si>
  <si>
    <t>Rania Khalil</t>
  </si>
  <si>
    <t>James Carter</t>
  </si>
  <si>
    <t>Noura Al Hamdan</t>
  </si>
  <si>
    <t>Chris Evans</t>
  </si>
  <si>
    <t>Layla Mostafa</t>
  </si>
  <si>
    <t>Tom Wilson</t>
  </si>
  <si>
    <t>Hessa Al Dhaheri</t>
  </si>
  <si>
    <t>Anna Petrov</t>
  </si>
  <si>
    <t>Omar Al Suwaidi</t>
  </si>
  <si>
    <t>Lisa Chen</t>
  </si>
  <si>
    <t>Bilal Hussain</t>
  </si>
  <si>
    <t>Maria Santos</t>
  </si>
  <si>
    <t>🟢  STUDENT PRACTICAL TASKS — Apply your own CF rules to the same dataset</t>
  </si>
  <si>
    <t>Task 1 — Highlight Cells (Q1 Sales):</t>
  </si>
  <si>
    <t>Select D5:D24. Apply two rules: (a) &gt; 60,000 → Blue fill, white font. (b) Between 30,000 and 50,000 → Orange fill. Open Manage Rules to see both listed.</t>
  </si>
  <si>
    <t>Task 2 — Top/Bottom Rules (% Growth):</t>
  </si>
  <si>
    <t>Select I5:I24. Apply Top 3 Items → Green fill. Then Bottom 3 Items → Red fill. Which employees appear?</t>
  </si>
  <si>
    <t>Task 3 — Data Bars (All Quarters):</t>
  </si>
  <si>
    <t>Select D5:G24 (all four quarter columns). Apply Data Bars → More Rules → Gradient Fill. Set Minimum type = Number, value = 0. Choose any colour.</t>
  </si>
  <si>
    <t>Task 4 — Colour Scale (Annual Total):</t>
  </si>
  <si>
    <t>Select H5:H24. Apply a 2-colour scale: White (Minimum) to Dark Blue (Maximum). Compare with the 3-colour scale already on columns E–G.</t>
  </si>
  <si>
    <t>Task 5 — Icon Sets (% Growth, 5-Icon Rating):</t>
  </si>
  <si>
    <t>Select I5:I24. Apply Icon Sets → 5 Ratings. Set thresholds: ≥ 30 = 5-star, ≥ 20 = 4-star, ≥ 10 = 3-star, ≥ 0 = 2-star, &lt; 0 = 1-star. Use Number type for each threshold.</t>
  </si>
  <si>
    <t>BONUS — Show Bar Only:</t>
  </si>
  <si>
    <t>Edit the Data Bar rule on Q1 (D5:D24) via Manage Rules → Edit Rule. Check 'Show Bar Only' to hide the number and display only the bar. This is useful for compact dashboard views.</t>
  </si>
  <si>
    <t>💡 TRAINER TIP: After each task, ask a student to read out which employees triggered the rule. This drives engagement and confirms the rules are working correctly.</t>
  </si>
  <si>
    <t>SHEET 2: Formula-Based Conditional Formatting  |  Topic 2 — Trainer Demo + Student Practice</t>
  </si>
  <si>
    <t>🟡  TRAINER DEMO AREA — Formula CF: row highlights, cross-column logic, date rules.</t>
  </si>
  <si>
    <t>📐  FORMULA REFERENCE CARD — Key formulas used in this topic (study these!)</t>
  </si>
  <si>
    <t>Formula CF Scenario</t>
  </si>
  <si>
    <t>Applied Range</t>
  </si>
  <si>
    <t>Formula to Enter</t>
  </si>
  <si>
    <t>Reference Logic</t>
  </si>
  <si>
    <t>Highlight rows where Region = North</t>
  </si>
  <si>
    <t>A5:K24</t>
  </si>
  <si>
    <t>Column B locked ($B), row 5 is relative → moves down each row</t>
  </si>
  <si>
    <t>Highlight rows where Total &gt; 200,000</t>
  </si>
  <si>
    <t>Column H locked ($H), row relative → checks H for each row</t>
  </si>
  <si>
    <t>Q4 dropped below Q1 (same row)</t>
  </si>
  <si>
    <t>D5:G24</t>
  </si>
  <si>
    <t>D locked ($D = Q1 anchor), G moves → compares each quarter to Q1</t>
  </si>
  <si>
    <t>Due Date is overdue</t>
  </si>
  <si>
    <t>J5:J24</t>
  </si>
  <si>
    <t>J relative → checks each date cell; TODAY() is always current</t>
  </si>
  <si>
    <t>Due within the next 7 days</t>
  </si>
  <si>
    <t>AND combines two date conditions; both relative</t>
  </si>
  <si>
    <t>Duplicate employee name</t>
  </si>
  <si>
    <t>A5:A24</t>
  </si>
  <si>
    <t>$A$5:$A$24 locked (whole range); A5 relative (current cell counted)</t>
  </si>
  <si>
    <t>🟢  STUDENT PRACTICAL TASKS — Write formula rules on the same data above</t>
  </si>
  <si>
    <t>Task 1 — Row Highlight (South Region):</t>
  </si>
  <si>
    <t>Select A5:K24. New Rule → Use a formula. Formula: =$B5="South". Apply pale yellow fill. Entire South rows should highlight.</t>
  </si>
  <si>
    <t>Task 2 — Low Performer Row Highlight:</t>
  </si>
  <si>
    <t>Select A5:K24. New Rule. Formula: =$H5&lt;80000. Apply light red/pink fill. Rows where Annual Total &lt; 80,000 should highlight in full.</t>
  </si>
  <si>
    <t>Task 3 — Quarter Decline (Q-on-Q drop below Q1):</t>
  </si>
  <si>
    <t>Select D5:G24. New Rule. Formula: =D5&lt;$D5 is wrong — think: you want to check if the current quarter (D) is less than Q1 ($D). Correct formula: use column D as start, compare each quarter back to $D. Ask your trainer if unsure.</t>
  </si>
  <si>
    <t>Task 4 — Overdue (red) and Due Soon (amber):</t>
  </si>
  <si>
    <t>Select J5:J24. Rule 1: =J5&lt;TODAY() → red fill. Rule 2: =AND(J5&gt;=TODAY(),J5&lt;=TODAY()+7) → amber/yellow fill. Use Manage Rules to set Rule 1 above Rule 2 with Stop If True.</t>
  </si>
  <si>
    <t>Task 5 — Duplicate Detection:</t>
  </si>
  <si>
    <t>Select A5:A24. New Rule. Formula: =COUNTIF($A$5:$A$24,A5)&gt;1. Apply pink fill. Any employee name appearing more than once will highlight. (Trainer may have added a duplicate row.)</t>
  </si>
  <si>
    <t>BONUS — Inactive Status Row:</t>
  </si>
  <si>
    <t>Select A5:K24. Formula: =$K5="Inactive". Apply grey fill and italic font. All Inactive rows should appear visually subdued.</t>
  </si>
  <si>
    <t>⚠  KEY REMINDER: After writing each formula rule, open Manage Rules and check the 'Applies to' range is correct. A wrong range is the most common cause of formula CF not working as expected.</t>
  </si>
  <si>
    <t>SHEET 3: Managing Conditional Formatting Rules  |  Topic 3 — Trainer Demo + Student Practice</t>
  </si>
  <si>
    <t>🟡  TRAINER DEMO AREA — Multiple rules applied intentionally. Open Manage Rules to explore.</t>
  </si>
  <si>
    <t>📋  RULES MANAGER NAVIGATION GUIDE — Step-by-step reference for the demo</t>
  </si>
  <si>
    <t>Action</t>
  </si>
  <si>
    <t>How to Do It</t>
  </si>
  <si>
    <t>Open Rules Manager</t>
  </si>
  <si>
    <t>Home → Conditional Formatting → Manage Rules</t>
  </si>
  <si>
    <t>See ALL sheet rules</t>
  </si>
  <si>
    <t>Change dropdown from 'Current Selection' → 'This Worksheet'</t>
  </si>
  <si>
    <t>Edit a rule</t>
  </si>
  <si>
    <t>Double-click any rule in the list → Edit Formatting Rule dialog opens</t>
  </si>
  <si>
    <t>Change threshold</t>
  </si>
  <si>
    <t>Modify the value in the formula box or condition fields → Click OK</t>
  </si>
  <si>
    <t>Reorder priority</t>
  </si>
  <si>
    <t>Select a rule → click Up ▲ or Down ▼ arrows (top rule = highest priority)</t>
  </si>
  <si>
    <t>Apply Stop If True</t>
  </si>
  <si>
    <t>Check the 'Stop If True' box next to a rule → Click Apply → lower rules won't fire if this one matches</t>
  </si>
  <si>
    <t>Change scope/range</t>
  </si>
  <si>
    <t>Click in the 'Applies to' box → edit the range directly (add ranges with comma separator)</t>
  </si>
  <si>
    <t>Delete one rule</t>
  </si>
  <si>
    <t>Select the rule → click 'Delete Rule' button</t>
  </si>
  <si>
    <t>Clear all CF</t>
  </si>
  <si>
    <t>Home → CF → Clear Rules → Clear Rules from Entire Sheet (CAUTION: irreversible)</t>
  </si>
  <si>
    <t>🟢  STUDENT PRACTICAL TASKS — Use Rules Manager to explore, edit, and control CF rules</t>
  </si>
  <si>
    <t>Task 1 — Explore All Rules:</t>
  </si>
  <si>
    <t>Open Home → CF → Manage Rules. Set dropdown to 'This Worksheet'. Count all rules listed. Identify: which column/range does each rule apply to?</t>
  </si>
  <si>
    <t>Task 2 — Edit a Rule:</t>
  </si>
  <si>
    <t>Double-click the rule on Annual Total (column H) for 'Top 5'. Change it to 'Top 3'. Click OK. Which employees lose their highlight?</t>
  </si>
  <si>
    <t>Task 3 — Priority Conflict (Q1 Col D):</t>
  </si>
  <si>
    <t>Two rules exist on D5:D24: Rule A (&gt;60,000, green) and Rule B (&gt;40,000, yellow). In Manage Rules, move Rule A ABOVE Rule B. Cells above 60K should show green — not yellow — because Rule A has priority.</t>
  </si>
  <si>
    <t>Task 4 — Apply Stop If True:</t>
  </si>
  <si>
    <t>With Rule A (&gt;60,000 green) above Rule B (&gt;40,000 yellow), check 'Stop If True' on Rule A. Click Apply. Confirm: cells above 60,000 no longer show yellow underneath. Uncheck and observe the difference.</t>
  </si>
  <si>
    <t>Task 5 — Expand Rule Scope:</t>
  </si>
  <si>
    <t>Select the Top 3 rule on Annual Total (H5:H24). Edit its 'Applies to' field to also include Q4 Sales (G5:G24). Add ,G5:G24 to the range. The same highlight now appears on both columns.</t>
  </si>
  <si>
    <t>Task 6 — Selective Delete:</t>
  </si>
  <si>
    <t>Delete the Bottom 3 rule on Annual Total using the Delete Rule button. Then use Clear Rules → Clear Rules from Selected Cells on column D (Q1 Sales) only. Verify other columns retain their rules.</t>
  </si>
  <si>
    <t>SHEET 4: Advanced Filtering Options  |  Topic 4 — Trainer Demo + Student Practice</t>
  </si>
  <si>
    <t>📐  ADVANCED FILTER CRITERIA RANGE — Edit values in row 5 or 6 to set your filter</t>
  </si>
  <si>
    <t>&gt;150000</t>
  </si>
  <si>
    <t>⬆  CRITERIA RANGE = A4:K6.  Row 5 (AND): Region='North' AND Annual Total&gt;150,000.  Row 6 (OR): Any row where Dept='HR'.  |  Edit these cells to change your filter criteria.</t>
  </si>
  <si>
    <t>Aisha Al Blooshi</t>
  </si>
  <si>
    <t>Robert Kim</t>
  </si>
  <si>
    <t>Mariam Al Qassimi</t>
  </si>
  <si>
    <t>David Park</t>
  </si>
  <si>
    <t>Noor Al Zaidi</t>
  </si>
  <si>
    <t>Sophie Turner</t>
  </si>
  <si>
    <t>Hamad Al Maktoum</t>
  </si>
  <si>
    <t>Elena Ivanova</t>
  </si>
  <si>
    <t>Yusuf Al Kaabi</t>
  </si>
  <si>
    <t>Grace Lee</t>
  </si>
  <si>
    <t>📋  FILTER TYPES QUICK REFERENCE — Use this during the practical</t>
  </si>
  <si>
    <t>Filter Type</t>
  </si>
  <si>
    <t>Where to Access</t>
  </si>
  <si>
    <t>What It Filters</t>
  </si>
  <si>
    <t>Number Filter</t>
  </si>
  <si>
    <t>Annual Total dropdown → Number Filters →</t>
  </si>
  <si>
    <t>Greater/less than, between, top N, above average</t>
  </si>
  <si>
    <t>Text Filter</t>
  </si>
  <si>
    <t>Region/Dept dropdown → Text Filters →</t>
  </si>
  <si>
    <t>Contains, begins with, does not contain</t>
  </si>
  <si>
    <t>Date Filter</t>
  </si>
  <si>
    <t>Due Date dropdown → Date Filters →</t>
  </si>
  <si>
    <t>This week, this year, before/after specific date</t>
  </si>
  <si>
    <t>Custom AutoFilter</t>
  </si>
  <si>
    <t>Any Number/Text Filter → Custom Filter</t>
  </si>
  <si>
    <t>2 conditions on same column: AND / OR</t>
  </si>
  <si>
    <t>Advanced Filter</t>
  </si>
  <si>
    <t>Data tab → Sort &amp; Filter → Advanced</t>
  </si>
  <si>
    <t>Criteria range, in-place or copy to location, unique records</t>
  </si>
  <si>
    <t>🟢  STUDENT PRACTICAL TASKS — Run each filter on the SalesData table above</t>
  </si>
  <si>
    <t>Task 1 — Top 5 Number Filter:</t>
  </si>
  <si>
    <t>Click Annual Total dropdown → Number Filters → Top 10 → change to Top 5 Items. Note the 5 employees shown. Clear filter (Data → Clear).</t>
  </si>
  <si>
    <t>Task 2 — Text Filter (Exclude):</t>
  </si>
  <si>
    <t>Click Status dropdown → Text Filters → Does Not Contain → type 'Inactive'. Only Active employees should show. Clear filter.</t>
  </si>
  <si>
    <t>Task 3 — Date Filter (Before):</t>
  </si>
  <si>
    <t>Click Due Date dropdown → Date Filters → Before → enter today's date. Only past-due rows appear. Clear filter.</t>
  </si>
  <si>
    <t>Task 4 — Custom AutoFilter (AND):</t>
  </si>
  <si>
    <t>Click Q1 Sales dropdown → Number Filters → Custom Filter. Condition 1: is greater than 40000. AND. Condition 2: is less than 80000. Clear filter.</t>
  </si>
  <si>
    <t>Task 5 — Custom AutoFilter (OR):</t>
  </si>
  <si>
    <t>Click Region dropdown → Text Filters → Custom Filter. Condition 1: equals North. OR. Condition 2: equals South. Clear filter.</t>
  </si>
  <si>
    <t>Task 6 — Advanced Filter (In-Place):</t>
  </si>
  <si>
    <t>Data → Advanced. Action: Filter the list, in-place. List range: A9:K[last row]. Criteria range: A4:K6. Click OK. Count how many rows remain.</t>
  </si>
  <si>
    <t>Task 7 — Advanced Filter (Copy to Location):</t>
  </si>
  <si>
    <t>Data → Advanced. Action: Copy to another location. List range: A9:K[last row]. Criteria range: A4:K6. Copy to: click cell A[ref_row+15]. Click OK. Verify extracted copy appears.</t>
  </si>
  <si>
    <t>Task 8 — Unique Records Only:</t>
  </si>
  <si>
    <t>Modify criteria to return ALL records (clear criteria row 5 and 6 values). Run Advanced Filter with 'Unique records only' checked. Compare row count to total.</t>
  </si>
  <si>
    <t>BONUS — Formula Criteria:</t>
  </si>
  <si>
    <t>In a blank cell with NO header above it (e.g., M4), type =H9&gt;AVERAGE($H$9:$H$[last]). Include M4 in the criteria range. Run Advanced Filter — observe it dynamically filters above-average Annual Total rows.</t>
  </si>
  <si>
    <t>💡 TRAINER TIP: After Task 7, ask learners: 'What would you do with the extracted data?' — common answers include: paste into a report, email to a manager, create a chart. This connects Advanced Filter to real workflow outcomes.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</si>
</sst>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\%"/>
    <numFmt numFmtId="165" formatCode="dd\-mmm\-yyyy"/>
  </numFmts>
  <fonts count="19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11.0"/>
      <color rgb="FFFFFFFF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7F4000"/>
      <name val="Arial"/>
    </font>
    <font>
      <sz val="10.0"/>
      <color rgb="FF375623"/>
      <name val="Arial"/>
    </font>
    <font>
      <sz val="10.0"/>
      <color rgb="FF000000"/>
      <name val="Arial"/>
    </font>
    <font>
      <sz val="10.0"/>
      <color rgb="FFA00000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9.0"/>
      <color rgb="FF7F4000"/>
      <name val="Arial"/>
    </font>
    <font>
      <sz val="9.0"/>
      <color rgb="FF375623"/>
      <name val="Arial"/>
    </font>
    <font>
      <i/>
      <sz val="9.0"/>
      <color rgb="FF7F4000"/>
      <name val="Arial"/>
    </font>
    <font>
      <sz val="9.0"/>
      <color rgb="FF000000"/>
      <name val="Arial"/>
    </font>
    <font>
      <i/>
      <sz val="9.0"/>
      <color rgb="FFA00000"/>
      <name val="Arial"/>
    </font>
    <font>
      <b/>
      <sz val="10.0"/>
      <color rgb="FF7F4000"/>
      <name val="Arial"/>
    </font>
    <font>
      <sz val="10.0"/>
      <color rgb="FF7B2C2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375623"/>
        <bgColor rgb="FF375623"/>
      </patternFill>
    </fill>
    <fill>
      <patternFill patternType="solid">
        <fgColor rgb="FF2E5B8E"/>
        <bgColor rgb="FF2E5B8E"/>
      </patternFill>
    </fill>
    <fill>
      <patternFill patternType="solid">
        <fgColor rgb="FFFFFDE7"/>
        <bgColor rgb="FFFFFDE7"/>
      </patternFill>
    </fill>
    <fill>
      <patternFill patternType="solid">
        <fgColor rgb="FF7B2C2C"/>
        <bgColor rgb="FF7B2C2C"/>
      </patternFill>
    </fill>
  </fills>
  <borders count="8">
    <border/>
    <border>
      <left/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4" fontId="6" numFmtId="0" xfId="0" applyAlignment="1" applyBorder="1" applyFill="1" applyFont="1">
      <alignment horizontal="left" shrinkToFit="0" vertical="center" wrapText="1"/>
    </xf>
    <xf borderId="3" fillId="5" fontId="7" numFmtId="0" xfId="0" applyAlignment="1" applyBorder="1" applyFill="1" applyFont="1">
      <alignment horizontal="left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7" fontId="9" numFmtId="0" xfId="0" applyAlignment="1" applyBorder="1" applyFill="1" applyFont="1">
      <alignment horizontal="left" shrinkToFit="0" vertical="center" wrapText="1"/>
    </xf>
    <xf borderId="3" fillId="8" fontId="8" numFmtId="0" xfId="0" applyAlignment="1" applyBorder="1" applyFill="1" applyFont="1">
      <alignment horizontal="left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3" fillId="9" fontId="8" numFmtId="0" xfId="0" applyAlignment="1" applyBorder="1" applyFill="1" applyFont="1">
      <alignment horizontal="center" shrinkToFit="0" vertical="center" wrapText="1"/>
    </xf>
    <xf borderId="3" fillId="8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3" fontId="1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shrinkToFit="0" vertical="center" wrapText="1"/>
    </xf>
    <xf borderId="3" fillId="9" fontId="8" numFmtId="3" xfId="0" applyAlignment="1" applyBorder="1" applyFont="1" applyNumberFormat="1">
      <alignment horizontal="center" shrinkToFit="0" vertical="center" wrapText="1"/>
    </xf>
    <xf borderId="3" fillId="9" fontId="8" numFmtId="164" xfId="0" applyAlignment="1" applyBorder="1" applyFont="1" applyNumberFormat="1">
      <alignment horizontal="center" shrinkToFit="0" vertical="center" wrapText="1"/>
    </xf>
    <xf borderId="3" fillId="9" fontId="8" numFmtId="165" xfId="0" applyAlignment="1" applyBorder="1" applyFont="1" applyNumberFormat="1">
      <alignment horizontal="center" shrinkToFit="0" vertical="center" wrapText="1"/>
    </xf>
    <xf borderId="3" fillId="8" fontId="8" numFmtId="3" xfId="0" applyAlignment="1" applyBorder="1" applyFont="1" applyNumberFormat="1">
      <alignment horizontal="center" shrinkToFit="0" vertical="center" wrapText="1"/>
    </xf>
    <xf borderId="3" fillId="8" fontId="8" numFmtId="164" xfId="0" applyAlignment="1" applyBorder="1" applyFont="1" applyNumberFormat="1">
      <alignment horizontal="center" shrinkToFit="0" vertical="center" wrapText="1"/>
    </xf>
    <xf borderId="3" fillId="8" fontId="8" numFmtId="165" xfId="0" applyAlignment="1" applyBorder="1" applyFont="1" applyNumberFormat="1">
      <alignment horizontal="center" shrinkToFit="0" vertical="center" wrapText="1"/>
    </xf>
    <xf borderId="5" fillId="10" fontId="11" numFmtId="0" xfId="0" applyAlignment="1" applyBorder="1" applyFill="1" applyFont="1">
      <alignment horizontal="center" shrinkToFit="0" vertical="center" wrapText="1"/>
    </xf>
    <xf borderId="3" fillId="4" fontId="12" numFmtId="0" xfId="0" applyAlignment="1" applyBorder="1" applyFont="1">
      <alignment horizontal="left" shrinkToFit="0" vertical="center" wrapText="1"/>
    </xf>
    <xf borderId="5" fillId="5" fontId="13" numFmtId="0" xfId="0" applyAlignment="1" applyBorder="1" applyFont="1">
      <alignment horizontal="left" shrinkToFit="0" vertical="center" wrapText="1"/>
    </xf>
    <xf borderId="5" fillId="4" fontId="14" numFmtId="0" xfId="0" applyAlignment="1" applyBorder="1" applyFont="1">
      <alignment horizontal="left" shrinkToFit="0" vertical="center" wrapText="1"/>
    </xf>
    <xf borderId="5" fillId="11" fontId="11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3" fillId="4" fontId="15" numFmtId="0" xfId="0" applyAlignment="1" applyBorder="1" applyFont="1">
      <alignment horizontal="left" shrinkToFit="0" vertical="center" wrapText="1"/>
    </xf>
    <xf borderId="3" fillId="12" fontId="8" numFmtId="0" xfId="0" applyAlignment="1" applyBorder="1" applyFill="1" applyFont="1">
      <alignment horizontal="left" shrinkToFit="0" vertical="center" wrapText="1"/>
    </xf>
    <xf borderId="3" fillId="12" fontId="15" numFmtId="0" xfId="0" applyAlignment="1" applyBorder="1" applyFont="1">
      <alignment horizontal="left" shrinkToFit="0" vertical="center" wrapText="1"/>
    </xf>
    <xf borderId="5" fillId="7" fontId="16" numFmtId="0" xfId="0" applyAlignment="1" applyBorder="1" applyFont="1">
      <alignment horizontal="left" shrinkToFit="0" vertical="center" wrapText="1"/>
    </xf>
    <xf borderId="3" fillId="4" fontId="17" numFmtId="0" xfId="0" applyAlignment="1" applyBorder="1" applyFont="1">
      <alignment horizontal="left" shrinkToFit="0" vertical="center" wrapText="1"/>
    </xf>
    <xf borderId="3" fillId="12" fontId="17" numFmtId="0" xfId="0" applyAlignment="1" applyBorder="1" applyFont="1">
      <alignment horizontal="left" shrinkToFit="0" vertical="center" wrapText="1"/>
    </xf>
    <xf borderId="3" fillId="5" fontId="13" numFmtId="0" xfId="0" applyAlignment="1" applyBorder="1" applyFont="1">
      <alignment horizontal="left" shrinkToFit="0" vertical="center" wrapText="1"/>
    </xf>
    <xf borderId="5" fillId="13" fontId="11" numFmtId="0" xfId="0" applyAlignment="1" applyBorder="1" applyFill="1" applyFont="1">
      <alignment horizontal="center" shrinkToFit="0" vertical="center" wrapText="1"/>
    </xf>
    <xf borderId="3" fillId="13" fontId="4" numFmtId="0" xfId="0" applyAlignment="1" applyBorder="1" applyFont="1">
      <alignment horizontal="center" shrinkToFit="0" vertical="center" wrapText="1"/>
    </xf>
    <xf borderId="3" fillId="7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>
        <b/>
        <sz val="10.0"/>
        <color rgb="FFFFFFFF"/>
        <name val="Arial"/>
      </font>
      <fill>
        <patternFill patternType="solid">
          <fgColor rgb="FF00B050"/>
          <bgColor rgb="FF00B050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FF0000"/>
          <bgColor rgb="FFFF0000"/>
        </patternFill>
      </fill>
      <border/>
    </dxf>
    <dxf>
      <font>
        <b/>
        <sz val="10.0"/>
        <color rgb="FF1F3864"/>
        <name val="Arial"/>
      </font>
      <fill>
        <patternFill patternType="solid">
          <fgColor rgb="FFBDD7EE"/>
          <bgColor rgb="FFBDD7EE"/>
        </patternFill>
      </fill>
      <border/>
    </dxf>
    <dxf>
      <font>
        <b/>
        <sz val="10.0"/>
        <color rgb="FF276221"/>
        <name val="Arial"/>
      </font>
      <fill>
        <patternFill patternType="solid">
          <fgColor rgb="FFC6EFCE"/>
          <bgColor rgb="FFC6EFCE"/>
        </patternFill>
      </fill>
      <border/>
    </dxf>
    <dxf>
      <font>
        <sz val="10.0"/>
        <color rgb="FFFFFFFF"/>
        <name val="Arial"/>
      </font>
      <fill>
        <patternFill patternType="solid">
          <fgColor rgb="FFFF0000"/>
          <bgColor rgb="FFFF0000"/>
        </patternFill>
      </fill>
      <border/>
    </dxf>
    <dxf>
      <font>
        <sz val="10.0"/>
        <color rgb="FF9C5700"/>
        <name val="Arial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36.0"/>
    <col customWidth="1" min="3" max="3" width="16.0"/>
    <col customWidth="1" min="4" max="4" width="14.0"/>
    <col customWidth="1" min="5" max="5" width="16.0"/>
    <col customWidth="1" min="6" max="26" width="8.71"/>
  </cols>
  <sheetData>
    <row r="1" ht="43.5" customHeight="1">
      <c r="A1" s="1" t="s">
        <v>0</v>
      </c>
      <c r="B1" s="2"/>
    </row>
    <row r="2" ht="26.25" customHeight="1">
      <c r="A2" s="3" t="s">
        <v>1</v>
      </c>
      <c r="B2" s="2"/>
    </row>
    <row r="4" ht="19.5" customHeight="1">
      <c r="A4" s="4" t="s">
        <v>2</v>
      </c>
      <c r="B4" s="5"/>
    </row>
    <row r="5" ht="19.5" customHeight="1">
      <c r="A5" s="6" t="s">
        <v>3</v>
      </c>
      <c r="B5" s="6" t="s">
        <v>4</v>
      </c>
    </row>
    <row r="6" ht="19.5" customHeight="1">
      <c r="A6" s="7" t="s">
        <v>5</v>
      </c>
      <c r="B6" s="7" t="s">
        <v>6</v>
      </c>
    </row>
    <row r="7" ht="19.5" customHeight="1">
      <c r="A7" s="8" t="s">
        <v>7</v>
      </c>
      <c r="B7" s="8" t="s">
        <v>8</v>
      </c>
    </row>
    <row r="8" ht="19.5" customHeight="1">
      <c r="A8" s="9" t="s">
        <v>9</v>
      </c>
      <c r="B8" s="9" t="s">
        <v>10</v>
      </c>
    </row>
    <row r="9" ht="19.5" customHeight="1">
      <c r="A9" s="10" t="s">
        <v>11</v>
      </c>
      <c r="B9" s="10" t="s">
        <v>12</v>
      </c>
    </row>
    <row r="11" ht="24.0" customHeight="1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</row>
    <row r="12" ht="19.5" customHeight="1">
      <c r="A12" s="12" t="s">
        <v>18</v>
      </c>
      <c r="B12" s="12" t="s">
        <v>19</v>
      </c>
      <c r="C12" s="12" t="s">
        <v>20</v>
      </c>
      <c r="D12" s="12" t="s">
        <v>21</v>
      </c>
      <c r="E12" s="12" t="s">
        <v>22</v>
      </c>
    </row>
    <row r="13" ht="19.5" customHeight="1">
      <c r="A13" s="13" t="s">
        <v>23</v>
      </c>
      <c r="B13" s="13" t="s">
        <v>24</v>
      </c>
      <c r="C13" s="13" t="s">
        <v>25</v>
      </c>
      <c r="D13" s="13" t="s">
        <v>21</v>
      </c>
      <c r="E13" s="13" t="s">
        <v>26</v>
      </c>
    </row>
    <row r="14" ht="19.5" customHeight="1">
      <c r="A14" s="12" t="s">
        <v>27</v>
      </c>
      <c r="B14" s="12" t="s">
        <v>28</v>
      </c>
      <c r="C14" s="12" t="s">
        <v>29</v>
      </c>
      <c r="D14" s="12" t="s">
        <v>30</v>
      </c>
      <c r="E14" s="12" t="s">
        <v>31</v>
      </c>
    </row>
    <row r="15" ht="19.5" customHeight="1">
      <c r="A15" s="13" t="s">
        <v>32</v>
      </c>
      <c r="B15" s="13" t="s">
        <v>33</v>
      </c>
      <c r="C15" s="13" t="s">
        <v>34</v>
      </c>
      <c r="D15" s="13" t="s">
        <v>35</v>
      </c>
      <c r="E15" s="1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2.0"/>
    <col customWidth="1" min="3" max="3" width="14.0"/>
    <col customWidth="1" min="4" max="7" width="13.0"/>
    <col customWidth="1" min="8" max="8" width="15.0"/>
    <col customWidth="1" min="9" max="9" width="12.0"/>
    <col customWidth="1" min="10" max="10" width="14.0"/>
    <col customWidth="1" min="11" max="11" width="12.0"/>
    <col customWidth="1" min="12" max="26" width="8.71"/>
  </cols>
  <sheetData>
    <row r="1" ht="33.75" customHeight="1">
      <c r="A1" s="14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2"/>
    </row>
    <row r="3" ht="24.0" customHeight="1">
      <c r="A3" s="16" t="s">
        <v>37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ht="24.0" customHeight="1">
      <c r="A4" s="19" t="s">
        <v>38</v>
      </c>
      <c r="B4" s="19" t="s">
        <v>39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</row>
    <row r="5" ht="19.5" customHeight="1">
      <c r="A5" s="12" t="s">
        <v>49</v>
      </c>
      <c r="B5" s="12" t="s">
        <v>50</v>
      </c>
      <c r="C5" s="12" t="s">
        <v>51</v>
      </c>
      <c r="D5" s="20">
        <v>105000.0</v>
      </c>
      <c r="E5" s="20">
        <v>112000.0</v>
      </c>
      <c r="F5" s="20">
        <v>98000.0</v>
      </c>
      <c r="G5" s="20">
        <v>118000.0</v>
      </c>
      <c r="H5" s="20">
        <v>433000.0</v>
      </c>
      <c r="I5" s="21">
        <v>12.4</v>
      </c>
      <c r="J5" s="22">
        <v>46184.0</v>
      </c>
      <c r="K5" s="12" t="s">
        <v>52</v>
      </c>
    </row>
    <row r="6" ht="19.5" customHeight="1">
      <c r="A6" s="13" t="s">
        <v>53</v>
      </c>
      <c r="B6" s="13" t="s">
        <v>54</v>
      </c>
      <c r="C6" s="13" t="s">
        <v>55</v>
      </c>
      <c r="D6" s="23">
        <v>38289.0</v>
      </c>
      <c r="E6" s="23">
        <v>46541.0</v>
      </c>
      <c r="F6" s="23">
        <v>46292.0</v>
      </c>
      <c r="G6" s="23">
        <v>57959.0</v>
      </c>
      <c r="H6" s="23">
        <v>189081.0</v>
      </c>
      <c r="I6" s="24">
        <v>51.4</v>
      </c>
      <c r="J6" s="25">
        <v>46196.0</v>
      </c>
      <c r="K6" s="13" t="s">
        <v>52</v>
      </c>
    </row>
    <row r="7" ht="19.5" customHeight="1">
      <c r="A7" s="12" t="s">
        <v>56</v>
      </c>
      <c r="B7" s="12" t="s">
        <v>57</v>
      </c>
      <c r="C7" s="12" t="s">
        <v>58</v>
      </c>
      <c r="D7" s="20">
        <v>31395.0</v>
      </c>
      <c r="E7" s="20">
        <v>34953.0</v>
      </c>
      <c r="F7" s="20">
        <v>19735.0</v>
      </c>
      <c r="G7" s="20">
        <v>27469.0</v>
      </c>
      <c r="H7" s="20">
        <v>113552.0</v>
      </c>
      <c r="I7" s="21">
        <v>-12.5</v>
      </c>
      <c r="J7" s="22">
        <v>46199.0</v>
      </c>
      <c r="K7" s="12" t="s">
        <v>52</v>
      </c>
    </row>
    <row r="8" ht="19.5" customHeight="1">
      <c r="A8" s="13" t="s">
        <v>59</v>
      </c>
      <c r="B8" s="13" t="s">
        <v>60</v>
      </c>
      <c r="C8" s="13" t="s">
        <v>61</v>
      </c>
      <c r="D8" s="23">
        <v>18000.0</v>
      </c>
      <c r="E8" s="23">
        <v>15000.0</v>
      </c>
      <c r="F8" s="23">
        <v>12000.0</v>
      </c>
      <c r="G8" s="23">
        <v>10000.0</v>
      </c>
      <c r="H8" s="23">
        <v>55000.0</v>
      </c>
      <c r="I8" s="24">
        <v>-44.4</v>
      </c>
      <c r="J8" s="25">
        <v>46203.0</v>
      </c>
      <c r="K8" s="13" t="s">
        <v>62</v>
      </c>
    </row>
    <row r="9" ht="19.5" customHeight="1">
      <c r="A9" s="12" t="s">
        <v>63</v>
      </c>
      <c r="B9" s="12" t="s">
        <v>50</v>
      </c>
      <c r="C9" s="12" t="s">
        <v>64</v>
      </c>
      <c r="D9" s="20">
        <v>105181.0</v>
      </c>
      <c r="E9" s="20">
        <v>125262.0</v>
      </c>
      <c r="F9" s="20">
        <v>102821.0</v>
      </c>
      <c r="G9" s="20">
        <v>121943.0</v>
      </c>
      <c r="H9" s="20">
        <v>455207.0</v>
      </c>
      <c r="I9" s="21">
        <v>15.9</v>
      </c>
      <c r="J9" s="22">
        <v>46209.0</v>
      </c>
      <c r="K9" s="12" t="s">
        <v>62</v>
      </c>
    </row>
    <row r="10" ht="19.5" customHeight="1">
      <c r="A10" s="13" t="s">
        <v>65</v>
      </c>
      <c r="B10" s="13" t="s">
        <v>54</v>
      </c>
      <c r="C10" s="13" t="s">
        <v>51</v>
      </c>
      <c r="D10" s="23">
        <v>56463.0</v>
      </c>
      <c r="E10" s="23">
        <v>71516.0</v>
      </c>
      <c r="F10" s="23">
        <v>34208.0</v>
      </c>
      <c r="G10" s="23">
        <v>81569.0</v>
      </c>
      <c r="H10" s="23">
        <v>243756.0</v>
      </c>
      <c r="I10" s="24">
        <v>44.5</v>
      </c>
      <c r="J10" s="25">
        <v>46198.0</v>
      </c>
      <c r="K10" s="13" t="s">
        <v>52</v>
      </c>
    </row>
    <row r="11" ht="19.5" customHeight="1">
      <c r="A11" s="12" t="s">
        <v>66</v>
      </c>
      <c r="B11" s="12" t="s">
        <v>57</v>
      </c>
      <c r="C11" s="12" t="s">
        <v>55</v>
      </c>
      <c r="D11" s="20">
        <v>111506.0</v>
      </c>
      <c r="E11" s="20">
        <v>111041.0</v>
      </c>
      <c r="F11" s="20">
        <v>94789.0</v>
      </c>
      <c r="G11" s="20">
        <v>108411.0</v>
      </c>
      <c r="H11" s="20">
        <v>425747.0</v>
      </c>
      <c r="I11" s="21">
        <v>-2.8</v>
      </c>
      <c r="J11" s="22">
        <v>46201.0</v>
      </c>
      <c r="K11" s="12" t="s">
        <v>52</v>
      </c>
    </row>
    <row r="12" ht="19.5" customHeight="1">
      <c r="A12" s="13" t="s">
        <v>67</v>
      </c>
      <c r="B12" s="13" t="s">
        <v>60</v>
      </c>
      <c r="C12" s="13" t="s">
        <v>58</v>
      </c>
      <c r="D12" s="23">
        <v>95000.0</v>
      </c>
      <c r="E12" s="23">
        <v>88000.0</v>
      </c>
      <c r="F12" s="23">
        <v>92000.0</v>
      </c>
      <c r="G12" s="23">
        <v>99000.0</v>
      </c>
      <c r="H12" s="23">
        <v>374000.0</v>
      </c>
      <c r="I12" s="24">
        <v>4.2</v>
      </c>
      <c r="J12" s="25">
        <v>46219.0</v>
      </c>
      <c r="K12" s="13" t="s">
        <v>52</v>
      </c>
    </row>
    <row r="13" ht="19.5" customHeight="1">
      <c r="A13" s="12" t="s">
        <v>68</v>
      </c>
      <c r="B13" s="12" t="s">
        <v>50</v>
      </c>
      <c r="C13" s="12" t="s">
        <v>61</v>
      </c>
      <c r="D13" s="20">
        <v>65082.0</v>
      </c>
      <c r="E13" s="20">
        <v>73061.0</v>
      </c>
      <c r="F13" s="20">
        <v>86325.0</v>
      </c>
      <c r="G13" s="20">
        <v>90059.0</v>
      </c>
      <c r="H13" s="20">
        <v>314527.0</v>
      </c>
      <c r="I13" s="21">
        <v>38.4</v>
      </c>
      <c r="J13" s="22">
        <v>46192.0</v>
      </c>
      <c r="K13" s="12" t="s">
        <v>52</v>
      </c>
    </row>
    <row r="14" ht="19.5" customHeight="1">
      <c r="A14" s="13" t="s">
        <v>69</v>
      </c>
      <c r="B14" s="13" t="s">
        <v>54</v>
      </c>
      <c r="C14" s="13" t="s">
        <v>64</v>
      </c>
      <c r="D14" s="23">
        <v>90284.0</v>
      </c>
      <c r="E14" s="23">
        <v>71087.0</v>
      </c>
      <c r="F14" s="23">
        <v>129112.0</v>
      </c>
      <c r="G14" s="23">
        <v>77918.0</v>
      </c>
      <c r="H14" s="23">
        <v>368401.0</v>
      </c>
      <c r="I14" s="24">
        <v>-13.7</v>
      </c>
      <c r="J14" s="25">
        <v>46200.0</v>
      </c>
      <c r="K14" s="13" t="s">
        <v>62</v>
      </c>
    </row>
    <row r="15" ht="19.5" customHeight="1">
      <c r="A15" s="12" t="s">
        <v>70</v>
      </c>
      <c r="B15" s="12" t="s">
        <v>57</v>
      </c>
      <c r="C15" s="12" t="s">
        <v>51</v>
      </c>
      <c r="D15" s="20">
        <v>58427.0</v>
      </c>
      <c r="E15" s="20">
        <v>74820.0</v>
      </c>
      <c r="F15" s="20">
        <v>67580.0</v>
      </c>
      <c r="G15" s="20">
        <v>87019.0</v>
      </c>
      <c r="H15" s="20">
        <v>287846.0</v>
      </c>
      <c r="I15" s="21">
        <v>48.9</v>
      </c>
      <c r="J15" s="22">
        <v>46169.0</v>
      </c>
      <c r="K15" s="12" t="s">
        <v>52</v>
      </c>
    </row>
    <row r="16" ht="19.5" customHeight="1">
      <c r="A16" s="13" t="s">
        <v>71</v>
      </c>
      <c r="B16" s="13" t="s">
        <v>60</v>
      </c>
      <c r="C16" s="13" t="s">
        <v>55</v>
      </c>
      <c r="D16" s="23">
        <v>22000.0</v>
      </c>
      <c r="E16" s="23">
        <v>19000.0</v>
      </c>
      <c r="F16" s="23">
        <v>17000.0</v>
      </c>
      <c r="G16" s="23">
        <v>14000.0</v>
      </c>
      <c r="H16" s="23">
        <v>72000.0</v>
      </c>
      <c r="I16" s="24">
        <v>-36.4</v>
      </c>
      <c r="J16" s="25">
        <v>46199.0</v>
      </c>
      <c r="K16" s="13" t="s">
        <v>62</v>
      </c>
    </row>
    <row r="17" ht="19.5" customHeight="1">
      <c r="A17" s="12" t="s">
        <v>72</v>
      </c>
      <c r="B17" s="12" t="s">
        <v>50</v>
      </c>
      <c r="C17" s="12" t="s">
        <v>58</v>
      </c>
      <c r="D17" s="20">
        <v>57930.0</v>
      </c>
      <c r="E17" s="20">
        <v>80502.0</v>
      </c>
      <c r="F17" s="20">
        <v>79351.0</v>
      </c>
      <c r="G17" s="20">
        <v>86500.0</v>
      </c>
      <c r="H17" s="20">
        <v>304283.0</v>
      </c>
      <c r="I17" s="21">
        <v>49.3</v>
      </c>
      <c r="J17" s="22">
        <v>46204.0</v>
      </c>
      <c r="K17" s="12" t="s">
        <v>52</v>
      </c>
    </row>
    <row r="18" ht="19.5" customHeight="1">
      <c r="A18" s="13" t="s">
        <v>73</v>
      </c>
      <c r="B18" s="13" t="s">
        <v>54</v>
      </c>
      <c r="C18" s="13" t="s">
        <v>61</v>
      </c>
      <c r="D18" s="23">
        <v>69823.0</v>
      </c>
      <c r="E18" s="23">
        <v>62462.0</v>
      </c>
      <c r="F18" s="23">
        <v>81840.0</v>
      </c>
      <c r="G18" s="23">
        <v>76237.0</v>
      </c>
      <c r="H18" s="23">
        <v>290362.0</v>
      </c>
      <c r="I18" s="24">
        <v>9.2</v>
      </c>
      <c r="J18" s="25">
        <v>46197.0</v>
      </c>
      <c r="K18" s="13" t="s">
        <v>52</v>
      </c>
    </row>
    <row r="19" ht="19.5" customHeight="1">
      <c r="A19" s="12" t="s">
        <v>74</v>
      </c>
      <c r="B19" s="12" t="s">
        <v>57</v>
      </c>
      <c r="C19" s="12" t="s">
        <v>64</v>
      </c>
      <c r="D19" s="20">
        <v>68520.0</v>
      </c>
      <c r="E19" s="20">
        <v>65004.0</v>
      </c>
      <c r="F19" s="20">
        <v>82440.0</v>
      </c>
      <c r="G19" s="20">
        <v>93286.0</v>
      </c>
      <c r="H19" s="20">
        <v>309250.0</v>
      </c>
      <c r="I19" s="21">
        <v>36.1</v>
      </c>
      <c r="J19" s="22">
        <v>46213.0</v>
      </c>
      <c r="K19" s="12" t="s">
        <v>62</v>
      </c>
    </row>
    <row r="20" ht="19.5" customHeight="1">
      <c r="A20" s="13" t="s">
        <v>75</v>
      </c>
      <c r="B20" s="13" t="s">
        <v>60</v>
      </c>
      <c r="C20" s="13" t="s">
        <v>51</v>
      </c>
      <c r="D20" s="23">
        <v>118000.0</v>
      </c>
      <c r="E20" s="23">
        <v>125000.0</v>
      </c>
      <c r="F20" s="23">
        <v>130000.0</v>
      </c>
      <c r="G20" s="23">
        <v>138000.0</v>
      </c>
      <c r="H20" s="23">
        <v>511000.0</v>
      </c>
      <c r="I20" s="24">
        <v>16.9</v>
      </c>
      <c r="J20" s="25">
        <v>46191.0</v>
      </c>
      <c r="K20" s="13" t="s">
        <v>52</v>
      </c>
    </row>
    <row r="21" ht="19.5" customHeight="1">
      <c r="A21" s="12" t="s">
        <v>76</v>
      </c>
      <c r="B21" s="12" t="s">
        <v>50</v>
      </c>
      <c r="C21" s="12" t="s">
        <v>55</v>
      </c>
      <c r="D21" s="20">
        <v>115568.0</v>
      </c>
      <c r="E21" s="20">
        <v>100702.0</v>
      </c>
      <c r="F21" s="20">
        <v>117421.0</v>
      </c>
      <c r="G21" s="20">
        <v>117412.0</v>
      </c>
      <c r="H21" s="20">
        <v>451103.0</v>
      </c>
      <c r="I21" s="21">
        <v>1.6</v>
      </c>
      <c r="J21" s="22">
        <v>46202.0</v>
      </c>
      <c r="K21" s="12" t="s">
        <v>52</v>
      </c>
    </row>
    <row r="22" ht="19.5" customHeight="1">
      <c r="A22" s="13" t="s">
        <v>77</v>
      </c>
      <c r="B22" s="13" t="s">
        <v>54</v>
      </c>
      <c r="C22" s="13" t="s">
        <v>58</v>
      </c>
      <c r="D22" s="23">
        <v>103886.0</v>
      </c>
      <c r="E22" s="23">
        <v>122763.0</v>
      </c>
      <c r="F22" s="23">
        <v>82865.0</v>
      </c>
      <c r="G22" s="23">
        <v>110059.0</v>
      </c>
      <c r="H22" s="23">
        <v>419573.0</v>
      </c>
      <c r="I22" s="24">
        <v>5.9</v>
      </c>
      <c r="J22" s="25">
        <v>46154.0</v>
      </c>
      <c r="K22" s="13" t="s">
        <v>52</v>
      </c>
    </row>
    <row r="23" ht="19.5" customHeight="1">
      <c r="A23" s="12" t="s">
        <v>78</v>
      </c>
      <c r="B23" s="12" t="s">
        <v>57</v>
      </c>
      <c r="C23" s="12" t="s">
        <v>61</v>
      </c>
      <c r="D23" s="20">
        <v>45000.0</v>
      </c>
      <c r="E23" s="20">
        <v>50000.0</v>
      </c>
      <c r="F23" s="20">
        <v>55000.0</v>
      </c>
      <c r="G23" s="20">
        <v>60000.0</v>
      </c>
      <c r="H23" s="20">
        <v>210000.0</v>
      </c>
      <c r="I23" s="21">
        <v>33.3</v>
      </c>
      <c r="J23" s="22">
        <v>46205.0</v>
      </c>
      <c r="K23" s="12" t="s">
        <v>52</v>
      </c>
    </row>
    <row r="24" ht="19.5" customHeight="1">
      <c r="A24" s="13" t="s">
        <v>79</v>
      </c>
      <c r="B24" s="13" t="s">
        <v>60</v>
      </c>
      <c r="C24" s="13" t="s">
        <v>64</v>
      </c>
      <c r="D24" s="23">
        <v>55093.0</v>
      </c>
      <c r="E24" s="23">
        <v>41117.0</v>
      </c>
      <c r="F24" s="23">
        <v>78332.0</v>
      </c>
      <c r="G24" s="23">
        <v>69072.0</v>
      </c>
      <c r="H24" s="23">
        <v>243614.0</v>
      </c>
      <c r="I24" s="24">
        <v>25.4</v>
      </c>
      <c r="J24" s="25">
        <v>46224.0</v>
      </c>
      <c r="K24" s="13" t="s">
        <v>62</v>
      </c>
    </row>
    <row r="25" ht="15.75" customHeight="1"/>
    <row r="26" ht="12.0" customHeight="1"/>
    <row r="27" ht="24.0" customHeight="1">
      <c r="A27" s="26" t="s">
        <v>80</v>
      </c>
      <c r="B27" s="17"/>
      <c r="C27" s="17"/>
      <c r="D27" s="17"/>
      <c r="E27" s="17"/>
      <c r="F27" s="17"/>
      <c r="G27" s="17"/>
      <c r="H27" s="17"/>
      <c r="I27" s="17"/>
      <c r="J27" s="17"/>
      <c r="K27" s="18"/>
    </row>
    <row r="28" ht="37.5" customHeight="1">
      <c r="A28" s="27" t="s">
        <v>81</v>
      </c>
      <c r="B28" s="28" t="s">
        <v>82</v>
      </c>
      <c r="C28" s="17"/>
      <c r="D28" s="17"/>
      <c r="E28" s="17"/>
      <c r="F28" s="17"/>
      <c r="G28" s="17"/>
      <c r="H28" s="17"/>
      <c r="I28" s="17"/>
      <c r="J28" s="17"/>
      <c r="K28" s="18"/>
    </row>
    <row r="29" ht="37.5" customHeight="1">
      <c r="A29" s="27" t="s">
        <v>83</v>
      </c>
      <c r="B29" s="28" t="s">
        <v>84</v>
      </c>
      <c r="C29" s="17"/>
      <c r="D29" s="17"/>
      <c r="E29" s="17"/>
      <c r="F29" s="17"/>
      <c r="G29" s="17"/>
      <c r="H29" s="17"/>
      <c r="I29" s="17"/>
      <c r="J29" s="17"/>
      <c r="K29" s="18"/>
    </row>
    <row r="30" ht="37.5" customHeight="1">
      <c r="A30" s="27" t="s">
        <v>85</v>
      </c>
      <c r="B30" s="28" t="s">
        <v>86</v>
      </c>
      <c r="C30" s="17"/>
      <c r="D30" s="17"/>
      <c r="E30" s="17"/>
      <c r="F30" s="17"/>
      <c r="G30" s="17"/>
      <c r="H30" s="17"/>
      <c r="I30" s="17"/>
      <c r="J30" s="17"/>
      <c r="K30" s="18"/>
    </row>
    <row r="31" ht="37.5" customHeight="1">
      <c r="A31" s="27" t="s">
        <v>87</v>
      </c>
      <c r="B31" s="28" t="s">
        <v>88</v>
      </c>
      <c r="C31" s="17"/>
      <c r="D31" s="17"/>
      <c r="E31" s="17"/>
      <c r="F31" s="17"/>
      <c r="G31" s="17"/>
      <c r="H31" s="17"/>
      <c r="I31" s="17"/>
      <c r="J31" s="17"/>
      <c r="K31" s="18"/>
    </row>
    <row r="32" ht="37.5" customHeight="1">
      <c r="A32" s="27" t="s">
        <v>89</v>
      </c>
      <c r="B32" s="28" t="s">
        <v>90</v>
      </c>
      <c r="C32" s="17"/>
      <c r="D32" s="17"/>
      <c r="E32" s="17"/>
      <c r="F32" s="17"/>
      <c r="G32" s="17"/>
      <c r="H32" s="17"/>
      <c r="I32" s="17"/>
      <c r="J32" s="17"/>
      <c r="K32" s="18"/>
    </row>
    <row r="33" ht="37.5" customHeight="1">
      <c r="A33" s="27" t="s">
        <v>91</v>
      </c>
      <c r="B33" s="28" t="s">
        <v>92</v>
      </c>
      <c r="C33" s="17"/>
      <c r="D33" s="17"/>
      <c r="E33" s="17"/>
      <c r="F33" s="17"/>
      <c r="G33" s="17"/>
      <c r="H33" s="17"/>
      <c r="I33" s="17"/>
      <c r="J33" s="17"/>
      <c r="K33" s="18"/>
    </row>
    <row r="34" ht="15.75" customHeight="1"/>
    <row r="35" ht="30.0" customHeight="1">
      <c r="A35" s="29" t="s">
        <v>93</v>
      </c>
      <c r="B35" s="17"/>
      <c r="C35" s="17"/>
      <c r="D35" s="17"/>
      <c r="E35" s="17"/>
      <c r="F35" s="17"/>
      <c r="G35" s="17"/>
      <c r="H35" s="17"/>
      <c r="I35" s="17"/>
      <c r="J35" s="17"/>
      <c r="K35" s="1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2:K32"/>
    <mergeCell ref="B33:K33"/>
    <mergeCell ref="A35:K35"/>
    <mergeCell ref="A1:K1"/>
    <mergeCell ref="A3:K3"/>
    <mergeCell ref="A27:K27"/>
    <mergeCell ref="B28:K28"/>
    <mergeCell ref="B29:K29"/>
    <mergeCell ref="B30:K30"/>
    <mergeCell ref="B31:K31"/>
  </mergeCells>
  <conditionalFormatting sqref="H5:H24">
    <cfRule type="cellIs" dxfId="0" priority="1" operator="greaterThan">
      <formula>200000</formula>
    </cfRule>
  </conditionalFormatting>
  <conditionalFormatting sqref="H5:H24">
    <cfRule type="cellIs" dxfId="1" priority="2" operator="lessThan">
      <formula>100000</formula>
    </cfRule>
  </conditionalFormatting>
  <conditionalFormatting sqref="E5:G24">
    <cfRule type="colorScale" priority="3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34.0"/>
    <col customWidth="1" min="4" max="4" width="30.0"/>
    <col customWidth="1" min="5" max="7" width="13.0"/>
    <col customWidth="1" min="8" max="8" width="15.0"/>
    <col customWidth="1" min="9" max="9" width="12.0"/>
    <col customWidth="1" min="10" max="10" width="14.0"/>
    <col customWidth="1" min="11" max="11" width="12.0"/>
    <col customWidth="1" min="12" max="26" width="8.71"/>
  </cols>
  <sheetData>
    <row r="1" ht="33.75" customHeight="1">
      <c r="A1" s="14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2"/>
    </row>
    <row r="3" ht="24.0" customHeight="1">
      <c r="A3" s="16" t="s">
        <v>95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ht="24.0" customHeight="1">
      <c r="A4" s="19" t="s">
        <v>38</v>
      </c>
      <c r="B4" s="19" t="s">
        <v>39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</row>
    <row r="5" ht="19.5" customHeight="1">
      <c r="A5" s="12" t="s">
        <v>49</v>
      </c>
      <c r="B5" s="12" t="s">
        <v>50</v>
      </c>
      <c r="C5" s="12" t="s">
        <v>51</v>
      </c>
      <c r="D5" s="20">
        <v>105000.0</v>
      </c>
      <c r="E5" s="20">
        <v>112000.0</v>
      </c>
      <c r="F5" s="20">
        <v>98000.0</v>
      </c>
      <c r="G5" s="20">
        <v>118000.0</v>
      </c>
      <c r="H5" s="20">
        <v>433000.0</v>
      </c>
      <c r="I5" s="21">
        <v>12.4</v>
      </c>
      <c r="J5" s="22">
        <v>46184.0</v>
      </c>
      <c r="K5" s="12" t="s">
        <v>52</v>
      </c>
    </row>
    <row r="6" ht="19.5" customHeight="1">
      <c r="A6" s="13" t="s">
        <v>53</v>
      </c>
      <c r="B6" s="13" t="s">
        <v>54</v>
      </c>
      <c r="C6" s="13" t="s">
        <v>55</v>
      </c>
      <c r="D6" s="23">
        <v>38289.0</v>
      </c>
      <c r="E6" s="23">
        <v>46541.0</v>
      </c>
      <c r="F6" s="23">
        <v>46292.0</v>
      </c>
      <c r="G6" s="23">
        <v>57959.0</v>
      </c>
      <c r="H6" s="23">
        <v>189081.0</v>
      </c>
      <c r="I6" s="24">
        <v>51.4</v>
      </c>
      <c r="J6" s="25">
        <v>46196.0</v>
      </c>
      <c r="K6" s="13" t="s">
        <v>52</v>
      </c>
    </row>
    <row r="7" ht="19.5" customHeight="1">
      <c r="A7" s="12" t="s">
        <v>56</v>
      </c>
      <c r="B7" s="12" t="s">
        <v>57</v>
      </c>
      <c r="C7" s="12" t="s">
        <v>58</v>
      </c>
      <c r="D7" s="20">
        <v>31395.0</v>
      </c>
      <c r="E7" s="20">
        <v>34953.0</v>
      </c>
      <c r="F7" s="20">
        <v>19735.0</v>
      </c>
      <c r="G7" s="20">
        <v>27469.0</v>
      </c>
      <c r="H7" s="20">
        <v>113552.0</v>
      </c>
      <c r="I7" s="21">
        <v>-12.5</v>
      </c>
      <c r="J7" s="22">
        <v>46199.0</v>
      </c>
      <c r="K7" s="12" t="s">
        <v>52</v>
      </c>
    </row>
    <row r="8" ht="19.5" customHeight="1">
      <c r="A8" s="13" t="s">
        <v>59</v>
      </c>
      <c r="B8" s="13" t="s">
        <v>60</v>
      </c>
      <c r="C8" s="13" t="s">
        <v>61</v>
      </c>
      <c r="D8" s="23">
        <v>18000.0</v>
      </c>
      <c r="E8" s="23">
        <v>15000.0</v>
      </c>
      <c r="F8" s="23">
        <v>12000.0</v>
      </c>
      <c r="G8" s="23">
        <v>10000.0</v>
      </c>
      <c r="H8" s="23">
        <v>55000.0</v>
      </c>
      <c r="I8" s="24">
        <v>-44.4</v>
      </c>
      <c r="J8" s="25">
        <v>46203.0</v>
      </c>
      <c r="K8" s="13" t="s">
        <v>62</v>
      </c>
    </row>
    <row r="9" ht="19.5" customHeight="1">
      <c r="A9" s="12" t="s">
        <v>63</v>
      </c>
      <c r="B9" s="12" t="s">
        <v>50</v>
      </c>
      <c r="C9" s="12" t="s">
        <v>64</v>
      </c>
      <c r="D9" s="20">
        <v>105181.0</v>
      </c>
      <c r="E9" s="20">
        <v>125262.0</v>
      </c>
      <c r="F9" s="20">
        <v>102821.0</v>
      </c>
      <c r="G9" s="20">
        <v>121943.0</v>
      </c>
      <c r="H9" s="20">
        <v>455207.0</v>
      </c>
      <c r="I9" s="21">
        <v>15.9</v>
      </c>
      <c r="J9" s="22">
        <v>46209.0</v>
      </c>
      <c r="K9" s="12" t="s">
        <v>62</v>
      </c>
    </row>
    <row r="10" ht="19.5" customHeight="1">
      <c r="A10" s="13" t="s">
        <v>65</v>
      </c>
      <c r="B10" s="13" t="s">
        <v>54</v>
      </c>
      <c r="C10" s="13" t="s">
        <v>51</v>
      </c>
      <c r="D10" s="23">
        <v>56463.0</v>
      </c>
      <c r="E10" s="23">
        <v>71516.0</v>
      </c>
      <c r="F10" s="23">
        <v>34208.0</v>
      </c>
      <c r="G10" s="23">
        <v>81569.0</v>
      </c>
      <c r="H10" s="23">
        <v>243756.0</v>
      </c>
      <c r="I10" s="24">
        <v>44.5</v>
      </c>
      <c r="J10" s="25">
        <v>46198.0</v>
      </c>
      <c r="K10" s="13" t="s">
        <v>52</v>
      </c>
    </row>
    <row r="11" ht="19.5" customHeight="1">
      <c r="A11" s="12" t="s">
        <v>66</v>
      </c>
      <c r="B11" s="12" t="s">
        <v>57</v>
      </c>
      <c r="C11" s="12" t="s">
        <v>55</v>
      </c>
      <c r="D11" s="20">
        <v>111506.0</v>
      </c>
      <c r="E11" s="20">
        <v>111041.0</v>
      </c>
      <c r="F11" s="20">
        <v>94789.0</v>
      </c>
      <c r="G11" s="20">
        <v>108411.0</v>
      </c>
      <c r="H11" s="20">
        <v>425747.0</v>
      </c>
      <c r="I11" s="21">
        <v>-2.8</v>
      </c>
      <c r="J11" s="22">
        <v>46201.0</v>
      </c>
      <c r="K11" s="12" t="s">
        <v>52</v>
      </c>
    </row>
    <row r="12" ht="19.5" customHeight="1">
      <c r="A12" s="13" t="s">
        <v>67</v>
      </c>
      <c r="B12" s="13" t="s">
        <v>60</v>
      </c>
      <c r="C12" s="13" t="s">
        <v>58</v>
      </c>
      <c r="D12" s="23">
        <v>95000.0</v>
      </c>
      <c r="E12" s="23">
        <v>88000.0</v>
      </c>
      <c r="F12" s="23">
        <v>92000.0</v>
      </c>
      <c r="G12" s="23">
        <v>99000.0</v>
      </c>
      <c r="H12" s="23">
        <v>374000.0</v>
      </c>
      <c r="I12" s="24">
        <v>4.2</v>
      </c>
      <c r="J12" s="25">
        <v>46219.0</v>
      </c>
      <c r="K12" s="13" t="s">
        <v>52</v>
      </c>
    </row>
    <row r="13" ht="19.5" customHeight="1">
      <c r="A13" s="12" t="s">
        <v>68</v>
      </c>
      <c r="B13" s="12" t="s">
        <v>50</v>
      </c>
      <c r="C13" s="12" t="s">
        <v>61</v>
      </c>
      <c r="D13" s="20">
        <v>65082.0</v>
      </c>
      <c r="E13" s="20">
        <v>73061.0</v>
      </c>
      <c r="F13" s="20">
        <v>86325.0</v>
      </c>
      <c r="G13" s="20">
        <v>90059.0</v>
      </c>
      <c r="H13" s="20">
        <v>314527.0</v>
      </c>
      <c r="I13" s="21">
        <v>38.4</v>
      </c>
      <c r="J13" s="22">
        <v>46192.0</v>
      </c>
      <c r="K13" s="12" t="s">
        <v>52</v>
      </c>
    </row>
    <row r="14" ht="19.5" customHeight="1">
      <c r="A14" s="13" t="s">
        <v>69</v>
      </c>
      <c r="B14" s="13" t="s">
        <v>54</v>
      </c>
      <c r="C14" s="13" t="s">
        <v>64</v>
      </c>
      <c r="D14" s="23">
        <v>90284.0</v>
      </c>
      <c r="E14" s="23">
        <v>71087.0</v>
      </c>
      <c r="F14" s="23">
        <v>129112.0</v>
      </c>
      <c r="G14" s="23">
        <v>77918.0</v>
      </c>
      <c r="H14" s="23">
        <v>368401.0</v>
      </c>
      <c r="I14" s="24">
        <v>-13.7</v>
      </c>
      <c r="J14" s="25">
        <v>46200.0</v>
      </c>
      <c r="K14" s="13" t="s">
        <v>62</v>
      </c>
    </row>
    <row r="15" ht="19.5" customHeight="1">
      <c r="A15" s="12" t="s">
        <v>70</v>
      </c>
      <c r="B15" s="12" t="s">
        <v>57</v>
      </c>
      <c r="C15" s="12" t="s">
        <v>51</v>
      </c>
      <c r="D15" s="20">
        <v>58427.0</v>
      </c>
      <c r="E15" s="20">
        <v>74820.0</v>
      </c>
      <c r="F15" s="20">
        <v>67580.0</v>
      </c>
      <c r="G15" s="20">
        <v>87019.0</v>
      </c>
      <c r="H15" s="20">
        <v>287846.0</v>
      </c>
      <c r="I15" s="21">
        <v>48.9</v>
      </c>
      <c r="J15" s="22">
        <v>46169.0</v>
      </c>
      <c r="K15" s="12" t="s">
        <v>52</v>
      </c>
    </row>
    <row r="16" ht="19.5" customHeight="1">
      <c r="A16" s="13" t="s">
        <v>71</v>
      </c>
      <c r="B16" s="13" t="s">
        <v>60</v>
      </c>
      <c r="C16" s="13" t="s">
        <v>55</v>
      </c>
      <c r="D16" s="23">
        <v>22000.0</v>
      </c>
      <c r="E16" s="23">
        <v>19000.0</v>
      </c>
      <c r="F16" s="23">
        <v>17000.0</v>
      </c>
      <c r="G16" s="23">
        <v>14000.0</v>
      </c>
      <c r="H16" s="23">
        <v>72000.0</v>
      </c>
      <c r="I16" s="24">
        <v>-36.4</v>
      </c>
      <c r="J16" s="25">
        <v>46199.0</v>
      </c>
      <c r="K16" s="13" t="s">
        <v>62</v>
      </c>
    </row>
    <row r="17" ht="19.5" customHeight="1">
      <c r="A17" s="12" t="s">
        <v>72</v>
      </c>
      <c r="B17" s="12" t="s">
        <v>50</v>
      </c>
      <c r="C17" s="12" t="s">
        <v>58</v>
      </c>
      <c r="D17" s="20">
        <v>57930.0</v>
      </c>
      <c r="E17" s="20">
        <v>80502.0</v>
      </c>
      <c r="F17" s="20">
        <v>79351.0</v>
      </c>
      <c r="G17" s="20">
        <v>86500.0</v>
      </c>
      <c r="H17" s="20">
        <v>304283.0</v>
      </c>
      <c r="I17" s="21">
        <v>49.3</v>
      </c>
      <c r="J17" s="22">
        <v>46204.0</v>
      </c>
      <c r="K17" s="12" t="s">
        <v>52</v>
      </c>
    </row>
    <row r="18" ht="19.5" customHeight="1">
      <c r="A18" s="13" t="s">
        <v>73</v>
      </c>
      <c r="B18" s="13" t="s">
        <v>54</v>
      </c>
      <c r="C18" s="13" t="s">
        <v>61</v>
      </c>
      <c r="D18" s="23">
        <v>69823.0</v>
      </c>
      <c r="E18" s="23">
        <v>62462.0</v>
      </c>
      <c r="F18" s="23">
        <v>81840.0</v>
      </c>
      <c r="G18" s="23">
        <v>76237.0</v>
      </c>
      <c r="H18" s="23">
        <v>290362.0</v>
      </c>
      <c r="I18" s="24">
        <v>9.2</v>
      </c>
      <c r="J18" s="25">
        <v>46197.0</v>
      </c>
      <c r="K18" s="13" t="s">
        <v>52</v>
      </c>
    </row>
    <row r="19" ht="19.5" customHeight="1">
      <c r="A19" s="12" t="s">
        <v>74</v>
      </c>
      <c r="B19" s="12" t="s">
        <v>57</v>
      </c>
      <c r="C19" s="12" t="s">
        <v>64</v>
      </c>
      <c r="D19" s="20">
        <v>68520.0</v>
      </c>
      <c r="E19" s="20">
        <v>65004.0</v>
      </c>
      <c r="F19" s="20">
        <v>82440.0</v>
      </c>
      <c r="G19" s="20">
        <v>93286.0</v>
      </c>
      <c r="H19" s="20">
        <v>309250.0</v>
      </c>
      <c r="I19" s="21">
        <v>36.1</v>
      </c>
      <c r="J19" s="22">
        <v>46213.0</v>
      </c>
      <c r="K19" s="12" t="s">
        <v>62</v>
      </c>
    </row>
    <row r="20" ht="19.5" customHeight="1">
      <c r="A20" s="13" t="s">
        <v>75</v>
      </c>
      <c r="B20" s="13" t="s">
        <v>60</v>
      </c>
      <c r="C20" s="13" t="s">
        <v>51</v>
      </c>
      <c r="D20" s="23">
        <v>118000.0</v>
      </c>
      <c r="E20" s="23">
        <v>125000.0</v>
      </c>
      <c r="F20" s="23">
        <v>130000.0</v>
      </c>
      <c r="G20" s="23">
        <v>138000.0</v>
      </c>
      <c r="H20" s="23">
        <v>511000.0</v>
      </c>
      <c r="I20" s="24">
        <v>16.9</v>
      </c>
      <c r="J20" s="25">
        <v>46191.0</v>
      </c>
      <c r="K20" s="13" t="s">
        <v>52</v>
      </c>
    </row>
    <row r="21" ht="19.5" customHeight="1">
      <c r="A21" s="12" t="s">
        <v>76</v>
      </c>
      <c r="B21" s="12" t="s">
        <v>50</v>
      </c>
      <c r="C21" s="12" t="s">
        <v>55</v>
      </c>
      <c r="D21" s="20">
        <v>115568.0</v>
      </c>
      <c r="E21" s="20">
        <v>100702.0</v>
      </c>
      <c r="F21" s="20">
        <v>117421.0</v>
      </c>
      <c r="G21" s="20">
        <v>117412.0</v>
      </c>
      <c r="H21" s="20">
        <v>451103.0</v>
      </c>
      <c r="I21" s="21">
        <v>1.6</v>
      </c>
      <c r="J21" s="22">
        <v>46202.0</v>
      </c>
      <c r="K21" s="12" t="s">
        <v>52</v>
      </c>
    </row>
    <row r="22" ht="19.5" customHeight="1">
      <c r="A22" s="13" t="s">
        <v>77</v>
      </c>
      <c r="B22" s="13" t="s">
        <v>54</v>
      </c>
      <c r="C22" s="13" t="s">
        <v>58</v>
      </c>
      <c r="D22" s="23">
        <v>103886.0</v>
      </c>
      <c r="E22" s="23">
        <v>122763.0</v>
      </c>
      <c r="F22" s="23">
        <v>82865.0</v>
      </c>
      <c r="G22" s="23">
        <v>110059.0</v>
      </c>
      <c r="H22" s="23">
        <v>419573.0</v>
      </c>
      <c r="I22" s="24">
        <v>5.9</v>
      </c>
      <c r="J22" s="25">
        <v>46154.0</v>
      </c>
      <c r="K22" s="13" t="s">
        <v>52</v>
      </c>
    </row>
    <row r="23" ht="19.5" customHeight="1">
      <c r="A23" s="12" t="s">
        <v>78</v>
      </c>
      <c r="B23" s="12" t="s">
        <v>57</v>
      </c>
      <c r="C23" s="12" t="s">
        <v>61</v>
      </c>
      <c r="D23" s="20">
        <v>45000.0</v>
      </c>
      <c r="E23" s="20">
        <v>50000.0</v>
      </c>
      <c r="F23" s="20">
        <v>55000.0</v>
      </c>
      <c r="G23" s="20">
        <v>60000.0</v>
      </c>
      <c r="H23" s="20">
        <v>210000.0</v>
      </c>
      <c r="I23" s="21">
        <v>33.3</v>
      </c>
      <c r="J23" s="22">
        <v>46205.0</v>
      </c>
      <c r="K23" s="12" t="s">
        <v>52</v>
      </c>
    </row>
    <row r="24" ht="19.5" customHeight="1">
      <c r="A24" s="13" t="s">
        <v>79</v>
      </c>
      <c r="B24" s="13" t="s">
        <v>60</v>
      </c>
      <c r="C24" s="13" t="s">
        <v>64</v>
      </c>
      <c r="D24" s="23">
        <v>55093.0</v>
      </c>
      <c r="E24" s="23">
        <v>41117.0</v>
      </c>
      <c r="F24" s="23">
        <v>78332.0</v>
      </c>
      <c r="G24" s="23">
        <v>69072.0</v>
      </c>
      <c r="H24" s="23">
        <v>243614.0</v>
      </c>
      <c r="I24" s="24">
        <v>25.4</v>
      </c>
      <c r="J24" s="25">
        <v>46224.0</v>
      </c>
      <c r="K24" s="13" t="s">
        <v>62</v>
      </c>
    </row>
    <row r="25" ht="15.75" customHeight="1"/>
    <row r="26" ht="12.0" customHeight="1"/>
    <row r="27" ht="24.0" customHeight="1">
      <c r="A27" s="30" t="s">
        <v>96</v>
      </c>
      <c r="B27" s="17"/>
      <c r="C27" s="17"/>
      <c r="D27" s="17"/>
      <c r="E27" s="17"/>
      <c r="F27" s="17"/>
      <c r="G27" s="17"/>
      <c r="H27" s="17"/>
      <c r="I27" s="17"/>
      <c r="J27" s="17"/>
      <c r="K27" s="18"/>
    </row>
    <row r="28" ht="24.0" customHeight="1">
      <c r="A28" s="11" t="s">
        <v>97</v>
      </c>
      <c r="B28" s="11" t="s">
        <v>98</v>
      </c>
      <c r="C28" s="11" t="s">
        <v>99</v>
      </c>
      <c r="D28" s="11" t="s">
        <v>100</v>
      </c>
    </row>
    <row r="29" ht="25.5" customHeight="1">
      <c r="A29" s="31" t="s">
        <v>101</v>
      </c>
      <c r="B29" s="31" t="s">
        <v>102</v>
      </c>
      <c r="C29" s="32" t="b">
        <f>$B5="North"</f>
        <v>1</v>
      </c>
      <c r="D29" s="32" t="s">
        <v>103</v>
      </c>
    </row>
    <row r="30" ht="25.5" customHeight="1">
      <c r="A30" s="33" t="s">
        <v>104</v>
      </c>
      <c r="B30" s="33" t="s">
        <v>102</v>
      </c>
      <c r="C30" s="34" t="b">
        <f>$H5&gt;200000</f>
        <v>1</v>
      </c>
      <c r="D30" s="34" t="s">
        <v>105</v>
      </c>
    </row>
    <row r="31" ht="25.5" customHeight="1">
      <c r="A31" s="31" t="s">
        <v>106</v>
      </c>
      <c r="B31" s="31" t="s">
        <v>107</v>
      </c>
      <c r="C31" s="32" t="b">
        <f>G5&lt;$D5</f>
        <v>0</v>
      </c>
      <c r="D31" s="32" t="s">
        <v>108</v>
      </c>
    </row>
    <row r="32" ht="25.5" customHeight="1">
      <c r="A32" s="33" t="s">
        <v>109</v>
      </c>
      <c r="B32" s="33" t="s">
        <v>110</v>
      </c>
      <c r="C32" s="34" t="b">
        <f>J5&lt;TODAY()</f>
        <v>1</v>
      </c>
      <c r="D32" s="34" t="s">
        <v>111</v>
      </c>
    </row>
    <row r="33" ht="25.5" customHeight="1">
      <c r="A33" s="31" t="s">
        <v>112</v>
      </c>
      <c r="B33" s="31" t="s">
        <v>110</v>
      </c>
      <c r="C33" s="32" t="b">
        <f>AND(J5&gt;=TODAY(),J5&lt;=TODAY()+7)</f>
        <v>0</v>
      </c>
      <c r="D33" s="32" t="s">
        <v>113</v>
      </c>
    </row>
    <row r="34" ht="25.5" customHeight="1">
      <c r="A34" s="33" t="s">
        <v>114</v>
      </c>
      <c r="B34" s="33" t="s">
        <v>115</v>
      </c>
      <c r="C34" s="34" t="b">
        <f>COUNTIF($A$5:$A$24,A5)&gt;1</f>
        <v>0</v>
      </c>
      <c r="D34" s="34" t="s">
        <v>116</v>
      </c>
    </row>
    <row r="35" ht="15.75" customHeight="1"/>
    <row r="36" ht="12.0" customHeight="1"/>
    <row r="37" ht="24.0" customHeight="1">
      <c r="A37" s="26" t="s">
        <v>117</v>
      </c>
      <c r="B37" s="17"/>
      <c r="C37" s="17"/>
      <c r="D37" s="17"/>
      <c r="E37" s="17"/>
      <c r="F37" s="17"/>
      <c r="G37" s="17"/>
      <c r="H37" s="17"/>
      <c r="I37" s="17"/>
      <c r="J37" s="17"/>
      <c r="K37" s="18"/>
    </row>
    <row r="38" ht="37.5" customHeight="1">
      <c r="A38" s="27" t="s">
        <v>118</v>
      </c>
      <c r="B38" s="28" t="s">
        <v>119</v>
      </c>
      <c r="C38" s="17"/>
      <c r="D38" s="17"/>
      <c r="E38" s="17"/>
      <c r="F38" s="17"/>
      <c r="G38" s="17"/>
      <c r="H38" s="17"/>
      <c r="I38" s="17"/>
      <c r="J38" s="17"/>
      <c r="K38" s="18"/>
    </row>
    <row r="39" ht="37.5" customHeight="1">
      <c r="A39" s="27" t="s">
        <v>120</v>
      </c>
      <c r="B39" s="28" t="s">
        <v>121</v>
      </c>
      <c r="C39" s="17"/>
      <c r="D39" s="17"/>
      <c r="E39" s="17"/>
      <c r="F39" s="17"/>
      <c r="G39" s="17"/>
      <c r="H39" s="17"/>
      <c r="I39" s="17"/>
      <c r="J39" s="17"/>
      <c r="K39" s="18"/>
    </row>
    <row r="40" ht="37.5" customHeight="1">
      <c r="A40" s="27" t="s">
        <v>122</v>
      </c>
      <c r="B40" s="28" t="s">
        <v>123</v>
      </c>
      <c r="C40" s="17"/>
      <c r="D40" s="17"/>
      <c r="E40" s="17"/>
      <c r="F40" s="17"/>
      <c r="G40" s="17"/>
      <c r="H40" s="17"/>
      <c r="I40" s="17"/>
      <c r="J40" s="17"/>
      <c r="K40" s="18"/>
    </row>
    <row r="41" ht="37.5" customHeight="1">
      <c r="A41" s="27" t="s">
        <v>124</v>
      </c>
      <c r="B41" s="28" t="s">
        <v>125</v>
      </c>
      <c r="C41" s="17"/>
      <c r="D41" s="17"/>
      <c r="E41" s="17"/>
      <c r="F41" s="17"/>
      <c r="G41" s="17"/>
      <c r="H41" s="17"/>
      <c r="I41" s="17"/>
      <c r="J41" s="17"/>
      <c r="K41" s="18"/>
    </row>
    <row r="42" ht="37.5" customHeight="1">
      <c r="A42" s="27" t="s">
        <v>126</v>
      </c>
      <c r="B42" s="28" t="s">
        <v>127</v>
      </c>
      <c r="C42" s="17"/>
      <c r="D42" s="17"/>
      <c r="E42" s="17"/>
      <c r="F42" s="17"/>
      <c r="G42" s="17"/>
      <c r="H42" s="17"/>
      <c r="I42" s="17"/>
      <c r="J42" s="17"/>
      <c r="K42" s="18"/>
    </row>
    <row r="43" ht="37.5" customHeight="1">
      <c r="A43" s="27" t="s">
        <v>128</v>
      </c>
      <c r="B43" s="28" t="s">
        <v>129</v>
      </c>
      <c r="C43" s="17"/>
      <c r="D43" s="17"/>
      <c r="E43" s="17"/>
      <c r="F43" s="17"/>
      <c r="G43" s="17"/>
      <c r="H43" s="17"/>
      <c r="I43" s="17"/>
      <c r="J43" s="17"/>
      <c r="K43" s="18"/>
    </row>
    <row r="44" ht="15.75" customHeight="1"/>
    <row r="45" ht="30.0" customHeight="1">
      <c r="A45" s="35" t="s">
        <v>130</v>
      </c>
      <c r="B45" s="17"/>
      <c r="C45" s="17"/>
      <c r="D45" s="17"/>
      <c r="E45" s="17"/>
      <c r="F45" s="17"/>
      <c r="G45" s="17"/>
      <c r="H45" s="17"/>
      <c r="I45" s="17"/>
      <c r="J45" s="17"/>
      <c r="K45" s="1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41:K41"/>
    <mergeCell ref="B42:K42"/>
    <mergeCell ref="B43:K43"/>
    <mergeCell ref="A45:K45"/>
    <mergeCell ref="A1:K1"/>
    <mergeCell ref="A3:K3"/>
    <mergeCell ref="A27:K27"/>
    <mergeCell ref="A37:K37"/>
    <mergeCell ref="B38:K38"/>
    <mergeCell ref="B39:K39"/>
    <mergeCell ref="B40:K40"/>
  </mergeCells>
  <conditionalFormatting sqref="A5:K24">
    <cfRule type="expression" dxfId="2" priority="1">
      <formula>$B5="North"</formula>
    </cfRule>
  </conditionalFormatting>
  <conditionalFormatting sqref="A5:K24">
    <cfRule type="expression" dxfId="3" priority="2">
      <formula>$H5&gt;200000</formula>
    </cfRule>
  </conditionalFormatting>
  <conditionalFormatting sqref="J5:J24">
    <cfRule type="expression" dxfId="4" priority="3">
      <formula>J5&lt;TODAY()</formula>
    </cfRule>
  </conditionalFormatting>
  <conditionalFormatting sqref="J5:J24">
    <cfRule type="expression" dxfId="5" priority="4">
      <formula>AND(J5&gt;=TODAY(),J5&lt;=TODAY()+7)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70.0"/>
    <col customWidth="1" min="3" max="3" width="14.0"/>
    <col customWidth="1" min="4" max="7" width="13.0"/>
    <col customWidth="1" min="8" max="8" width="15.0"/>
    <col customWidth="1" min="9" max="9" width="12.0"/>
    <col customWidth="1" min="10" max="10" width="14.0"/>
    <col customWidth="1" min="11" max="11" width="12.0"/>
    <col customWidth="1" min="12" max="26" width="8.71"/>
  </cols>
  <sheetData>
    <row r="1" ht="33.75" customHeight="1">
      <c r="A1" s="14" t="s">
        <v>131</v>
      </c>
      <c r="B1" s="15"/>
      <c r="C1" s="15"/>
      <c r="D1" s="15"/>
      <c r="E1" s="15"/>
      <c r="F1" s="15"/>
      <c r="G1" s="15"/>
      <c r="H1" s="15"/>
      <c r="I1" s="15"/>
      <c r="J1" s="15"/>
      <c r="K1" s="2"/>
    </row>
    <row r="3" ht="24.0" customHeight="1">
      <c r="A3" s="16" t="s">
        <v>132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ht="24.0" customHeight="1">
      <c r="A4" s="19" t="s">
        <v>38</v>
      </c>
      <c r="B4" s="19" t="s">
        <v>39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</row>
    <row r="5" ht="19.5" customHeight="1">
      <c r="A5" s="12" t="s">
        <v>49</v>
      </c>
      <c r="B5" s="12" t="s">
        <v>50</v>
      </c>
      <c r="C5" s="12" t="s">
        <v>51</v>
      </c>
      <c r="D5" s="20">
        <v>105000.0</v>
      </c>
      <c r="E5" s="20">
        <v>112000.0</v>
      </c>
      <c r="F5" s="20">
        <v>98000.0</v>
      </c>
      <c r="G5" s="20">
        <v>118000.0</v>
      </c>
      <c r="H5" s="20">
        <v>433000.0</v>
      </c>
      <c r="I5" s="21">
        <v>12.4</v>
      </c>
      <c r="J5" s="22">
        <v>46184.0</v>
      </c>
      <c r="K5" s="12" t="s">
        <v>52</v>
      </c>
    </row>
    <row r="6" ht="19.5" customHeight="1">
      <c r="A6" s="13" t="s">
        <v>53</v>
      </c>
      <c r="B6" s="13" t="s">
        <v>54</v>
      </c>
      <c r="C6" s="13" t="s">
        <v>55</v>
      </c>
      <c r="D6" s="23">
        <v>38289.0</v>
      </c>
      <c r="E6" s="23">
        <v>46541.0</v>
      </c>
      <c r="F6" s="23">
        <v>46292.0</v>
      </c>
      <c r="G6" s="23">
        <v>57959.0</v>
      </c>
      <c r="H6" s="23">
        <v>189081.0</v>
      </c>
      <c r="I6" s="24">
        <v>51.4</v>
      </c>
      <c r="J6" s="25">
        <v>46196.0</v>
      </c>
      <c r="K6" s="13" t="s">
        <v>52</v>
      </c>
    </row>
    <row r="7" ht="19.5" customHeight="1">
      <c r="A7" s="12" t="s">
        <v>56</v>
      </c>
      <c r="B7" s="12" t="s">
        <v>57</v>
      </c>
      <c r="C7" s="12" t="s">
        <v>58</v>
      </c>
      <c r="D7" s="20">
        <v>31395.0</v>
      </c>
      <c r="E7" s="20">
        <v>34953.0</v>
      </c>
      <c r="F7" s="20">
        <v>19735.0</v>
      </c>
      <c r="G7" s="20">
        <v>27469.0</v>
      </c>
      <c r="H7" s="20">
        <v>113552.0</v>
      </c>
      <c r="I7" s="21">
        <v>-12.5</v>
      </c>
      <c r="J7" s="22">
        <v>46199.0</v>
      </c>
      <c r="K7" s="12" t="s">
        <v>52</v>
      </c>
    </row>
    <row r="8" ht="19.5" customHeight="1">
      <c r="A8" s="13" t="s">
        <v>59</v>
      </c>
      <c r="B8" s="13" t="s">
        <v>60</v>
      </c>
      <c r="C8" s="13" t="s">
        <v>61</v>
      </c>
      <c r="D8" s="23">
        <v>18000.0</v>
      </c>
      <c r="E8" s="23">
        <v>15000.0</v>
      </c>
      <c r="F8" s="23">
        <v>12000.0</v>
      </c>
      <c r="G8" s="23">
        <v>10000.0</v>
      </c>
      <c r="H8" s="23">
        <v>55000.0</v>
      </c>
      <c r="I8" s="24">
        <v>-44.4</v>
      </c>
      <c r="J8" s="25">
        <v>46203.0</v>
      </c>
      <c r="K8" s="13" t="s">
        <v>62</v>
      </c>
    </row>
    <row r="9" ht="19.5" customHeight="1">
      <c r="A9" s="12" t="s">
        <v>63</v>
      </c>
      <c r="B9" s="12" t="s">
        <v>50</v>
      </c>
      <c r="C9" s="12" t="s">
        <v>64</v>
      </c>
      <c r="D9" s="20">
        <v>105181.0</v>
      </c>
      <c r="E9" s="20">
        <v>125262.0</v>
      </c>
      <c r="F9" s="20">
        <v>102821.0</v>
      </c>
      <c r="G9" s="20">
        <v>121943.0</v>
      </c>
      <c r="H9" s="20">
        <v>455207.0</v>
      </c>
      <c r="I9" s="21">
        <v>15.9</v>
      </c>
      <c r="J9" s="22">
        <v>46209.0</v>
      </c>
      <c r="K9" s="12" t="s">
        <v>62</v>
      </c>
    </row>
    <row r="10" ht="19.5" customHeight="1">
      <c r="A10" s="13" t="s">
        <v>65</v>
      </c>
      <c r="B10" s="13" t="s">
        <v>54</v>
      </c>
      <c r="C10" s="13" t="s">
        <v>51</v>
      </c>
      <c r="D10" s="23">
        <v>56463.0</v>
      </c>
      <c r="E10" s="23">
        <v>71516.0</v>
      </c>
      <c r="F10" s="23">
        <v>34208.0</v>
      </c>
      <c r="G10" s="23">
        <v>81569.0</v>
      </c>
      <c r="H10" s="23">
        <v>243756.0</v>
      </c>
      <c r="I10" s="24">
        <v>44.5</v>
      </c>
      <c r="J10" s="25">
        <v>46198.0</v>
      </c>
      <c r="K10" s="13" t="s">
        <v>52</v>
      </c>
    </row>
    <row r="11" ht="19.5" customHeight="1">
      <c r="A11" s="12" t="s">
        <v>66</v>
      </c>
      <c r="B11" s="12" t="s">
        <v>57</v>
      </c>
      <c r="C11" s="12" t="s">
        <v>55</v>
      </c>
      <c r="D11" s="20">
        <v>111506.0</v>
      </c>
      <c r="E11" s="20">
        <v>111041.0</v>
      </c>
      <c r="F11" s="20">
        <v>94789.0</v>
      </c>
      <c r="G11" s="20">
        <v>108411.0</v>
      </c>
      <c r="H11" s="20">
        <v>425747.0</v>
      </c>
      <c r="I11" s="21">
        <v>-2.8</v>
      </c>
      <c r="J11" s="22">
        <v>46201.0</v>
      </c>
      <c r="K11" s="12" t="s">
        <v>52</v>
      </c>
    </row>
    <row r="12" ht="19.5" customHeight="1">
      <c r="A12" s="13" t="s">
        <v>67</v>
      </c>
      <c r="B12" s="13" t="s">
        <v>60</v>
      </c>
      <c r="C12" s="13" t="s">
        <v>58</v>
      </c>
      <c r="D12" s="23">
        <v>95000.0</v>
      </c>
      <c r="E12" s="23">
        <v>88000.0</v>
      </c>
      <c r="F12" s="23">
        <v>92000.0</v>
      </c>
      <c r="G12" s="23">
        <v>99000.0</v>
      </c>
      <c r="H12" s="23">
        <v>374000.0</v>
      </c>
      <c r="I12" s="24">
        <v>4.2</v>
      </c>
      <c r="J12" s="25">
        <v>46219.0</v>
      </c>
      <c r="K12" s="13" t="s">
        <v>52</v>
      </c>
    </row>
    <row r="13" ht="19.5" customHeight="1">
      <c r="A13" s="12" t="s">
        <v>68</v>
      </c>
      <c r="B13" s="12" t="s">
        <v>50</v>
      </c>
      <c r="C13" s="12" t="s">
        <v>61</v>
      </c>
      <c r="D13" s="20">
        <v>65082.0</v>
      </c>
      <c r="E13" s="20">
        <v>73061.0</v>
      </c>
      <c r="F13" s="20">
        <v>86325.0</v>
      </c>
      <c r="G13" s="20">
        <v>90059.0</v>
      </c>
      <c r="H13" s="20">
        <v>314527.0</v>
      </c>
      <c r="I13" s="21">
        <v>38.4</v>
      </c>
      <c r="J13" s="22">
        <v>46192.0</v>
      </c>
      <c r="K13" s="12" t="s">
        <v>52</v>
      </c>
    </row>
    <row r="14" ht="19.5" customHeight="1">
      <c r="A14" s="13" t="s">
        <v>69</v>
      </c>
      <c r="B14" s="13" t="s">
        <v>54</v>
      </c>
      <c r="C14" s="13" t="s">
        <v>64</v>
      </c>
      <c r="D14" s="23">
        <v>90284.0</v>
      </c>
      <c r="E14" s="23">
        <v>71087.0</v>
      </c>
      <c r="F14" s="23">
        <v>129112.0</v>
      </c>
      <c r="G14" s="23">
        <v>77918.0</v>
      </c>
      <c r="H14" s="23">
        <v>368401.0</v>
      </c>
      <c r="I14" s="24">
        <v>-13.7</v>
      </c>
      <c r="J14" s="25">
        <v>46200.0</v>
      </c>
      <c r="K14" s="13" t="s">
        <v>62</v>
      </c>
    </row>
    <row r="15" ht="19.5" customHeight="1">
      <c r="A15" s="12" t="s">
        <v>70</v>
      </c>
      <c r="B15" s="12" t="s">
        <v>57</v>
      </c>
      <c r="C15" s="12" t="s">
        <v>51</v>
      </c>
      <c r="D15" s="20">
        <v>58427.0</v>
      </c>
      <c r="E15" s="20">
        <v>74820.0</v>
      </c>
      <c r="F15" s="20">
        <v>67580.0</v>
      </c>
      <c r="G15" s="20">
        <v>87019.0</v>
      </c>
      <c r="H15" s="20">
        <v>287846.0</v>
      </c>
      <c r="I15" s="21">
        <v>48.9</v>
      </c>
      <c r="J15" s="22">
        <v>46169.0</v>
      </c>
      <c r="K15" s="12" t="s">
        <v>52</v>
      </c>
    </row>
    <row r="16" ht="19.5" customHeight="1">
      <c r="A16" s="13" t="s">
        <v>71</v>
      </c>
      <c r="B16" s="13" t="s">
        <v>60</v>
      </c>
      <c r="C16" s="13" t="s">
        <v>55</v>
      </c>
      <c r="D16" s="23">
        <v>22000.0</v>
      </c>
      <c r="E16" s="23">
        <v>19000.0</v>
      </c>
      <c r="F16" s="23">
        <v>17000.0</v>
      </c>
      <c r="G16" s="23">
        <v>14000.0</v>
      </c>
      <c r="H16" s="23">
        <v>72000.0</v>
      </c>
      <c r="I16" s="24">
        <v>-36.4</v>
      </c>
      <c r="J16" s="25">
        <v>46199.0</v>
      </c>
      <c r="K16" s="13" t="s">
        <v>62</v>
      </c>
    </row>
    <row r="17" ht="19.5" customHeight="1">
      <c r="A17" s="12" t="s">
        <v>72</v>
      </c>
      <c r="B17" s="12" t="s">
        <v>50</v>
      </c>
      <c r="C17" s="12" t="s">
        <v>58</v>
      </c>
      <c r="D17" s="20">
        <v>57930.0</v>
      </c>
      <c r="E17" s="20">
        <v>80502.0</v>
      </c>
      <c r="F17" s="20">
        <v>79351.0</v>
      </c>
      <c r="G17" s="20">
        <v>86500.0</v>
      </c>
      <c r="H17" s="20">
        <v>304283.0</v>
      </c>
      <c r="I17" s="21">
        <v>49.3</v>
      </c>
      <c r="J17" s="22">
        <v>46204.0</v>
      </c>
      <c r="K17" s="12" t="s">
        <v>52</v>
      </c>
    </row>
    <row r="18" ht="19.5" customHeight="1">
      <c r="A18" s="13" t="s">
        <v>73</v>
      </c>
      <c r="B18" s="13" t="s">
        <v>54</v>
      </c>
      <c r="C18" s="13" t="s">
        <v>61</v>
      </c>
      <c r="D18" s="23">
        <v>69823.0</v>
      </c>
      <c r="E18" s="23">
        <v>62462.0</v>
      </c>
      <c r="F18" s="23">
        <v>81840.0</v>
      </c>
      <c r="G18" s="23">
        <v>76237.0</v>
      </c>
      <c r="H18" s="23">
        <v>290362.0</v>
      </c>
      <c r="I18" s="24">
        <v>9.2</v>
      </c>
      <c r="J18" s="25">
        <v>46197.0</v>
      </c>
      <c r="K18" s="13" t="s">
        <v>52</v>
      </c>
    </row>
    <row r="19" ht="19.5" customHeight="1">
      <c r="A19" s="12" t="s">
        <v>74</v>
      </c>
      <c r="B19" s="12" t="s">
        <v>57</v>
      </c>
      <c r="C19" s="12" t="s">
        <v>64</v>
      </c>
      <c r="D19" s="20">
        <v>68520.0</v>
      </c>
      <c r="E19" s="20">
        <v>65004.0</v>
      </c>
      <c r="F19" s="20">
        <v>82440.0</v>
      </c>
      <c r="G19" s="20">
        <v>93286.0</v>
      </c>
      <c r="H19" s="20">
        <v>309250.0</v>
      </c>
      <c r="I19" s="21">
        <v>36.1</v>
      </c>
      <c r="J19" s="22">
        <v>46213.0</v>
      </c>
      <c r="K19" s="12" t="s">
        <v>62</v>
      </c>
    </row>
    <row r="20" ht="19.5" customHeight="1">
      <c r="A20" s="13" t="s">
        <v>75</v>
      </c>
      <c r="B20" s="13" t="s">
        <v>60</v>
      </c>
      <c r="C20" s="13" t="s">
        <v>51</v>
      </c>
      <c r="D20" s="23">
        <v>118000.0</v>
      </c>
      <c r="E20" s="23">
        <v>125000.0</v>
      </c>
      <c r="F20" s="23">
        <v>130000.0</v>
      </c>
      <c r="G20" s="23">
        <v>138000.0</v>
      </c>
      <c r="H20" s="23">
        <v>511000.0</v>
      </c>
      <c r="I20" s="24">
        <v>16.9</v>
      </c>
      <c r="J20" s="25">
        <v>46191.0</v>
      </c>
      <c r="K20" s="13" t="s">
        <v>52</v>
      </c>
    </row>
    <row r="21" ht="19.5" customHeight="1">
      <c r="A21" s="12" t="s">
        <v>76</v>
      </c>
      <c r="B21" s="12" t="s">
        <v>50</v>
      </c>
      <c r="C21" s="12" t="s">
        <v>55</v>
      </c>
      <c r="D21" s="20">
        <v>115568.0</v>
      </c>
      <c r="E21" s="20">
        <v>100702.0</v>
      </c>
      <c r="F21" s="20">
        <v>117421.0</v>
      </c>
      <c r="G21" s="20">
        <v>117412.0</v>
      </c>
      <c r="H21" s="20">
        <v>451103.0</v>
      </c>
      <c r="I21" s="21">
        <v>1.6</v>
      </c>
      <c r="J21" s="22">
        <v>46202.0</v>
      </c>
      <c r="K21" s="12" t="s">
        <v>52</v>
      </c>
    </row>
    <row r="22" ht="19.5" customHeight="1">
      <c r="A22" s="13" t="s">
        <v>77</v>
      </c>
      <c r="B22" s="13" t="s">
        <v>54</v>
      </c>
      <c r="C22" s="13" t="s">
        <v>58</v>
      </c>
      <c r="D22" s="23">
        <v>103886.0</v>
      </c>
      <c r="E22" s="23">
        <v>122763.0</v>
      </c>
      <c r="F22" s="23">
        <v>82865.0</v>
      </c>
      <c r="G22" s="23">
        <v>110059.0</v>
      </c>
      <c r="H22" s="23">
        <v>419573.0</v>
      </c>
      <c r="I22" s="24">
        <v>5.9</v>
      </c>
      <c r="J22" s="25">
        <v>46154.0</v>
      </c>
      <c r="K22" s="13" t="s">
        <v>52</v>
      </c>
    </row>
    <row r="23" ht="19.5" customHeight="1">
      <c r="A23" s="12" t="s">
        <v>78</v>
      </c>
      <c r="B23" s="12" t="s">
        <v>57</v>
      </c>
      <c r="C23" s="12" t="s">
        <v>61</v>
      </c>
      <c r="D23" s="20">
        <v>45000.0</v>
      </c>
      <c r="E23" s="20">
        <v>50000.0</v>
      </c>
      <c r="F23" s="20">
        <v>55000.0</v>
      </c>
      <c r="G23" s="20">
        <v>60000.0</v>
      </c>
      <c r="H23" s="20">
        <v>210000.0</v>
      </c>
      <c r="I23" s="21">
        <v>33.3</v>
      </c>
      <c r="J23" s="22">
        <v>46205.0</v>
      </c>
      <c r="K23" s="12" t="s">
        <v>52</v>
      </c>
    </row>
    <row r="24" ht="19.5" customHeight="1">
      <c r="A24" s="13" t="s">
        <v>79</v>
      </c>
      <c r="B24" s="13" t="s">
        <v>60</v>
      </c>
      <c r="C24" s="13" t="s">
        <v>64</v>
      </c>
      <c r="D24" s="23">
        <v>55093.0</v>
      </c>
      <c r="E24" s="23">
        <v>41117.0</v>
      </c>
      <c r="F24" s="23">
        <v>78332.0</v>
      </c>
      <c r="G24" s="23">
        <v>69072.0</v>
      </c>
      <c r="H24" s="23">
        <v>243614.0</v>
      </c>
      <c r="I24" s="24">
        <v>25.4</v>
      </c>
      <c r="J24" s="25">
        <v>46224.0</v>
      </c>
      <c r="K24" s="13" t="s">
        <v>62</v>
      </c>
    </row>
    <row r="25" ht="15.75" customHeight="1"/>
    <row r="26" ht="12.0" customHeight="1"/>
    <row r="27" ht="24.0" customHeight="1">
      <c r="A27" s="30" t="s">
        <v>133</v>
      </c>
      <c r="B27" s="17"/>
      <c r="C27" s="17"/>
      <c r="D27" s="17"/>
      <c r="E27" s="17"/>
      <c r="F27" s="17"/>
      <c r="G27" s="17"/>
      <c r="H27" s="17"/>
      <c r="I27" s="17"/>
      <c r="J27" s="17"/>
      <c r="K27" s="18"/>
    </row>
    <row r="28" ht="24.0" customHeight="1">
      <c r="A28" s="11" t="s">
        <v>134</v>
      </c>
      <c r="B28" s="11" t="s">
        <v>135</v>
      </c>
    </row>
    <row r="29" ht="21.75" customHeight="1">
      <c r="A29" s="36" t="s">
        <v>136</v>
      </c>
      <c r="B29" s="31" t="s">
        <v>137</v>
      </c>
    </row>
    <row r="30" ht="21.75" customHeight="1">
      <c r="A30" s="37" t="s">
        <v>138</v>
      </c>
      <c r="B30" s="33" t="s">
        <v>139</v>
      </c>
    </row>
    <row r="31" ht="21.75" customHeight="1">
      <c r="A31" s="36" t="s">
        <v>140</v>
      </c>
      <c r="B31" s="31" t="s">
        <v>141</v>
      </c>
    </row>
    <row r="32" ht="21.75" customHeight="1">
      <c r="A32" s="37" t="s">
        <v>142</v>
      </c>
      <c r="B32" s="33" t="s">
        <v>143</v>
      </c>
    </row>
    <row r="33" ht="21.75" customHeight="1">
      <c r="A33" s="36" t="s">
        <v>144</v>
      </c>
      <c r="B33" s="31" t="s">
        <v>145</v>
      </c>
    </row>
    <row r="34" ht="21.75" customHeight="1">
      <c r="A34" s="37" t="s">
        <v>146</v>
      </c>
      <c r="B34" s="33" t="s">
        <v>147</v>
      </c>
    </row>
    <row r="35" ht="21.75" customHeight="1">
      <c r="A35" s="36" t="s">
        <v>148</v>
      </c>
      <c r="B35" s="31" t="s">
        <v>149</v>
      </c>
    </row>
    <row r="36" ht="21.75" customHeight="1">
      <c r="A36" s="37" t="s">
        <v>150</v>
      </c>
      <c r="B36" s="33" t="s">
        <v>151</v>
      </c>
    </row>
    <row r="37" ht="21.75" customHeight="1">
      <c r="A37" s="36" t="s">
        <v>152</v>
      </c>
      <c r="B37" s="31" t="s">
        <v>153</v>
      </c>
    </row>
    <row r="38" ht="15.75" customHeight="1"/>
    <row r="39" ht="12.0" customHeight="1"/>
    <row r="40" ht="24.0" customHeight="1">
      <c r="A40" s="26" t="s">
        <v>154</v>
      </c>
      <c r="B40" s="17"/>
      <c r="C40" s="17"/>
      <c r="D40" s="17"/>
      <c r="E40" s="17"/>
      <c r="F40" s="17"/>
      <c r="G40" s="17"/>
      <c r="H40" s="17"/>
      <c r="I40" s="17"/>
      <c r="J40" s="17"/>
      <c r="K40" s="18"/>
    </row>
    <row r="41" ht="37.5" customHeight="1">
      <c r="A41" s="27" t="s">
        <v>155</v>
      </c>
      <c r="B41" s="38" t="s">
        <v>156</v>
      </c>
    </row>
    <row r="42" ht="37.5" customHeight="1">
      <c r="A42" s="27" t="s">
        <v>157</v>
      </c>
      <c r="B42" s="38" t="s">
        <v>158</v>
      </c>
    </row>
    <row r="43" ht="37.5" customHeight="1">
      <c r="A43" s="27" t="s">
        <v>159</v>
      </c>
      <c r="B43" s="38" t="s">
        <v>160</v>
      </c>
    </row>
    <row r="44" ht="37.5" customHeight="1">
      <c r="A44" s="27" t="s">
        <v>161</v>
      </c>
      <c r="B44" s="38" t="s">
        <v>162</v>
      </c>
    </row>
    <row r="45" ht="37.5" customHeight="1">
      <c r="A45" s="27" t="s">
        <v>163</v>
      </c>
      <c r="B45" s="38" t="s">
        <v>164</v>
      </c>
    </row>
    <row r="46" ht="37.5" customHeight="1">
      <c r="A46" s="27" t="s">
        <v>165</v>
      </c>
      <c r="B46" s="38" t="s">
        <v>166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3:K3"/>
    <mergeCell ref="A27:K27"/>
    <mergeCell ref="A40:K40"/>
  </mergeCells>
  <conditionalFormatting sqref="D5:D24">
    <cfRule type="cellIs" dxfId="3" priority="1" operator="greaterThan">
      <formula>60000</formula>
    </cfRule>
  </conditionalFormatting>
  <conditionalFormatting sqref="D5:D24">
    <cfRule type="cellIs" dxfId="5" priority="2" operator="greaterThan">
      <formula>40000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36.0"/>
    <col customWidth="1" min="3" max="3" width="46.0"/>
    <col customWidth="1" min="4" max="7" width="13.0"/>
    <col customWidth="1" min="8" max="8" width="15.0"/>
    <col customWidth="1" min="9" max="9" width="12.0"/>
    <col customWidth="1" min="10" max="10" width="14.0"/>
    <col customWidth="1" min="11" max="11" width="12.0"/>
    <col customWidth="1" min="12" max="26" width="8.71"/>
  </cols>
  <sheetData>
    <row r="1" ht="33.75" customHeight="1">
      <c r="A1" s="14" t="s">
        <v>167</v>
      </c>
      <c r="B1" s="15"/>
      <c r="C1" s="15"/>
      <c r="D1" s="15"/>
      <c r="E1" s="15"/>
      <c r="F1" s="15"/>
      <c r="G1" s="15"/>
      <c r="H1" s="15"/>
      <c r="I1" s="15"/>
      <c r="J1" s="15"/>
      <c r="K1" s="2"/>
    </row>
    <row r="3" ht="24.0" customHeight="1">
      <c r="A3" s="39" t="s">
        <v>168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ht="21.75" customHeight="1">
      <c r="A4" s="40" t="s">
        <v>38</v>
      </c>
      <c r="B4" s="40" t="s">
        <v>39</v>
      </c>
      <c r="C4" s="40" t="s">
        <v>40</v>
      </c>
      <c r="D4" s="40" t="s">
        <v>41</v>
      </c>
      <c r="E4" s="40" t="s">
        <v>42</v>
      </c>
      <c r="F4" s="40" t="s">
        <v>43</v>
      </c>
      <c r="G4" s="40" t="s">
        <v>44</v>
      </c>
      <c r="H4" s="40" t="s">
        <v>45</v>
      </c>
      <c r="I4" s="40" t="s">
        <v>46</v>
      </c>
      <c r="J4" s="40" t="s">
        <v>47</v>
      </c>
      <c r="K4" s="40" t="s">
        <v>48</v>
      </c>
    </row>
    <row r="5" ht="19.5" customHeight="1">
      <c r="A5" s="41"/>
      <c r="B5" s="41" t="s">
        <v>50</v>
      </c>
      <c r="C5" s="41"/>
      <c r="D5" s="41"/>
      <c r="E5" s="41"/>
      <c r="F5" s="41"/>
      <c r="G5" s="41"/>
      <c r="H5" s="41" t="s">
        <v>169</v>
      </c>
      <c r="I5" s="41"/>
      <c r="J5" s="41"/>
      <c r="K5" s="41"/>
    </row>
    <row r="6" ht="19.5" customHeight="1">
      <c r="A6" s="41"/>
      <c r="B6" s="41"/>
      <c r="C6" s="41" t="s">
        <v>64</v>
      </c>
      <c r="D6" s="41"/>
      <c r="E6" s="41"/>
      <c r="F6" s="41"/>
      <c r="G6" s="41"/>
      <c r="H6" s="41"/>
      <c r="I6" s="41"/>
      <c r="J6" s="41"/>
      <c r="K6" s="41"/>
    </row>
    <row r="7" ht="30.0" customHeight="1">
      <c r="A7" s="29" t="s">
        <v>170</v>
      </c>
      <c r="B7" s="17"/>
      <c r="C7" s="17"/>
      <c r="D7" s="17"/>
      <c r="E7" s="17"/>
      <c r="F7" s="17"/>
      <c r="G7" s="17"/>
      <c r="H7" s="17"/>
      <c r="I7" s="17"/>
      <c r="J7" s="17"/>
      <c r="K7" s="18"/>
    </row>
    <row r="8" ht="7.5" customHeight="1"/>
    <row r="9">
      <c r="A9" s="19" t="s">
        <v>38</v>
      </c>
      <c r="B9" s="19" t="s">
        <v>39</v>
      </c>
      <c r="C9" s="19" t="s">
        <v>40</v>
      </c>
      <c r="D9" s="19" t="s">
        <v>41</v>
      </c>
      <c r="E9" s="19" t="s">
        <v>42</v>
      </c>
      <c r="F9" s="19" t="s">
        <v>43</v>
      </c>
      <c r="G9" s="19" t="s">
        <v>44</v>
      </c>
      <c r="H9" s="19" t="s">
        <v>45</v>
      </c>
      <c r="I9" s="19" t="s">
        <v>46</v>
      </c>
      <c r="J9" s="19" t="s">
        <v>47</v>
      </c>
      <c r="K9" s="19" t="s">
        <v>48</v>
      </c>
    </row>
    <row r="10" ht="19.5" customHeight="1">
      <c r="A10" s="12" t="s">
        <v>49</v>
      </c>
      <c r="B10" s="12" t="s">
        <v>50</v>
      </c>
      <c r="C10" s="12" t="s">
        <v>51</v>
      </c>
      <c r="D10" s="20">
        <v>105000.0</v>
      </c>
      <c r="E10" s="20">
        <v>112000.0</v>
      </c>
      <c r="F10" s="20">
        <v>98000.0</v>
      </c>
      <c r="G10" s="20">
        <v>118000.0</v>
      </c>
      <c r="H10" s="20">
        <v>433000.0</v>
      </c>
      <c r="I10" s="21">
        <v>12.4</v>
      </c>
      <c r="J10" s="22">
        <v>46184.0</v>
      </c>
      <c r="K10" s="12" t="s">
        <v>52</v>
      </c>
    </row>
    <row r="11" ht="19.5" customHeight="1">
      <c r="A11" s="13" t="s">
        <v>53</v>
      </c>
      <c r="B11" s="13" t="s">
        <v>54</v>
      </c>
      <c r="C11" s="13" t="s">
        <v>55</v>
      </c>
      <c r="D11" s="23">
        <v>104259.0</v>
      </c>
      <c r="E11" s="23">
        <v>106468.0</v>
      </c>
      <c r="F11" s="23">
        <v>87409.0</v>
      </c>
      <c r="G11" s="23">
        <v>103977.0</v>
      </c>
      <c r="H11" s="23">
        <v>402113.0</v>
      </c>
      <c r="I11" s="24">
        <v>-0.3</v>
      </c>
      <c r="J11" s="25">
        <v>46196.0</v>
      </c>
      <c r="K11" s="13" t="s">
        <v>52</v>
      </c>
    </row>
    <row r="12" ht="19.5" customHeight="1">
      <c r="A12" s="12" t="s">
        <v>56</v>
      </c>
      <c r="B12" s="12" t="s">
        <v>57</v>
      </c>
      <c r="C12" s="12" t="s">
        <v>58</v>
      </c>
      <c r="D12" s="20">
        <v>93579.0</v>
      </c>
      <c r="E12" s="20">
        <v>100811.0</v>
      </c>
      <c r="F12" s="20">
        <v>119061.0</v>
      </c>
      <c r="G12" s="20">
        <v>106937.0</v>
      </c>
      <c r="H12" s="20">
        <v>420388.0</v>
      </c>
      <c r="I12" s="21">
        <v>14.3</v>
      </c>
      <c r="J12" s="22">
        <v>46199.0</v>
      </c>
      <c r="K12" s="12" t="s">
        <v>52</v>
      </c>
    </row>
    <row r="13" ht="19.5" customHeight="1">
      <c r="A13" s="13" t="s">
        <v>59</v>
      </c>
      <c r="B13" s="13" t="s">
        <v>60</v>
      </c>
      <c r="C13" s="13" t="s">
        <v>61</v>
      </c>
      <c r="D13" s="23">
        <v>18000.0</v>
      </c>
      <c r="E13" s="23">
        <v>15000.0</v>
      </c>
      <c r="F13" s="23">
        <v>12000.0</v>
      </c>
      <c r="G13" s="23">
        <v>10000.0</v>
      </c>
      <c r="H13" s="23">
        <v>55000.0</v>
      </c>
      <c r="I13" s="24">
        <v>-44.4</v>
      </c>
      <c r="J13" s="25">
        <v>46203.0</v>
      </c>
      <c r="K13" s="13" t="s">
        <v>62</v>
      </c>
    </row>
    <row r="14" ht="19.5" customHeight="1">
      <c r="A14" s="12" t="s">
        <v>63</v>
      </c>
      <c r="B14" s="12" t="s">
        <v>50</v>
      </c>
      <c r="C14" s="12" t="s">
        <v>64</v>
      </c>
      <c r="D14" s="20">
        <v>86784.0</v>
      </c>
      <c r="E14" s="20">
        <v>90729.0</v>
      </c>
      <c r="F14" s="20">
        <v>111101.0</v>
      </c>
      <c r="G14" s="20">
        <v>129211.0</v>
      </c>
      <c r="H14" s="20">
        <v>417825.0</v>
      </c>
      <c r="I14" s="21">
        <v>48.9</v>
      </c>
      <c r="J14" s="22">
        <v>46209.0</v>
      </c>
      <c r="K14" s="12" t="s">
        <v>62</v>
      </c>
    </row>
    <row r="15" ht="19.5" customHeight="1">
      <c r="A15" s="13" t="s">
        <v>65</v>
      </c>
      <c r="B15" s="13" t="s">
        <v>54</v>
      </c>
      <c r="C15" s="13" t="s">
        <v>51</v>
      </c>
      <c r="D15" s="23">
        <v>40033.0</v>
      </c>
      <c r="E15" s="23">
        <v>45606.0</v>
      </c>
      <c r="F15" s="23">
        <v>52558.0</v>
      </c>
      <c r="G15" s="23">
        <v>45546.0</v>
      </c>
      <c r="H15" s="23">
        <v>183743.0</v>
      </c>
      <c r="I15" s="24">
        <v>13.8</v>
      </c>
      <c r="J15" s="25">
        <v>46198.0</v>
      </c>
      <c r="K15" s="13" t="s">
        <v>52</v>
      </c>
    </row>
    <row r="16" ht="19.5" customHeight="1">
      <c r="A16" s="12" t="s">
        <v>66</v>
      </c>
      <c r="B16" s="12" t="s">
        <v>57</v>
      </c>
      <c r="C16" s="12" t="s">
        <v>55</v>
      </c>
      <c r="D16" s="20">
        <v>28326.0</v>
      </c>
      <c r="E16" s="20">
        <v>27457.0</v>
      </c>
      <c r="F16" s="20">
        <v>32186.0</v>
      </c>
      <c r="G16" s="20">
        <v>33267.0</v>
      </c>
      <c r="H16" s="20">
        <v>121236.0</v>
      </c>
      <c r="I16" s="21">
        <v>17.4</v>
      </c>
      <c r="J16" s="22">
        <v>46201.0</v>
      </c>
      <c r="K16" s="12" t="s">
        <v>52</v>
      </c>
    </row>
    <row r="17" ht="19.5" customHeight="1">
      <c r="A17" s="13" t="s">
        <v>67</v>
      </c>
      <c r="B17" s="13" t="s">
        <v>60</v>
      </c>
      <c r="C17" s="13" t="s">
        <v>58</v>
      </c>
      <c r="D17" s="23">
        <v>95000.0</v>
      </c>
      <c r="E17" s="23">
        <v>88000.0</v>
      </c>
      <c r="F17" s="23">
        <v>92000.0</v>
      </c>
      <c r="G17" s="23">
        <v>99000.0</v>
      </c>
      <c r="H17" s="23">
        <v>374000.0</v>
      </c>
      <c r="I17" s="24">
        <v>4.2</v>
      </c>
      <c r="J17" s="25">
        <v>46219.0</v>
      </c>
      <c r="K17" s="13" t="s">
        <v>52</v>
      </c>
    </row>
    <row r="18" ht="19.5" customHeight="1">
      <c r="A18" s="12" t="s">
        <v>68</v>
      </c>
      <c r="B18" s="12" t="s">
        <v>50</v>
      </c>
      <c r="C18" s="12" t="s">
        <v>61</v>
      </c>
      <c r="D18" s="20">
        <v>114466.0</v>
      </c>
      <c r="E18" s="20">
        <v>89304.0</v>
      </c>
      <c r="F18" s="20">
        <v>159829.0</v>
      </c>
      <c r="G18" s="20">
        <v>160332.0</v>
      </c>
      <c r="H18" s="20">
        <v>523931.0</v>
      </c>
      <c r="I18" s="21">
        <v>40.1</v>
      </c>
      <c r="J18" s="22">
        <v>46192.0</v>
      </c>
      <c r="K18" s="12" t="s">
        <v>52</v>
      </c>
    </row>
    <row r="19" ht="19.5" customHeight="1">
      <c r="A19" s="13" t="s">
        <v>69</v>
      </c>
      <c r="B19" s="13" t="s">
        <v>54</v>
      </c>
      <c r="C19" s="13" t="s">
        <v>64</v>
      </c>
      <c r="D19" s="23">
        <v>104012.0</v>
      </c>
      <c r="E19" s="23">
        <v>97576.0</v>
      </c>
      <c r="F19" s="23">
        <v>89881.0</v>
      </c>
      <c r="G19" s="23">
        <v>96369.0</v>
      </c>
      <c r="H19" s="23">
        <v>387838.0</v>
      </c>
      <c r="I19" s="24">
        <v>-7.3</v>
      </c>
      <c r="J19" s="25">
        <v>46200.0</v>
      </c>
      <c r="K19" s="13" t="s">
        <v>62</v>
      </c>
    </row>
    <row r="20" ht="19.5" customHeight="1">
      <c r="A20" s="12" t="s">
        <v>70</v>
      </c>
      <c r="B20" s="12" t="s">
        <v>57</v>
      </c>
      <c r="C20" s="12" t="s">
        <v>51</v>
      </c>
      <c r="D20" s="20">
        <v>20425.0</v>
      </c>
      <c r="E20" s="20">
        <v>27934.0</v>
      </c>
      <c r="F20" s="20">
        <v>28355.0</v>
      </c>
      <c r="G20" s="20">
        <v>20643.0</v>
      </c>
      <c r="H20" s="20">
        <v>97357.0</v>
      </c>
      <c r="I20" s="21">
        <v>1.1</v>
      </c>
      <c r="J20" s="22">
        <v>46169.0</v>
      </c>
      <c r="K20" s="12" t="s">
        <v>52</v>
      </c>
    </row>
    <row r="21" ht="19.5" customHeight="1">
      <c r="A21" s="13" t="s">
        <v>71</v>
      </c>
      <c r="B21" s="13" t="s">
        <v>60</v>
      </c>
      <c r="C21" s="13" t="s">
        <v>55</v>
      </c>
      <c r="D21" s="23">
        <v>22000.0</v>
      </c>
      <c r="E21" s="23">
        <v>19000.0</v>
      </c>
      <c r="F21" s="23">
        <v>17000.0</v>
      </c>
      <c r="G21" s="23">
        <v>14000.0</v>
      </c>
      <c r="H21" s="23">
        <v>72000.0</v>
      </c>
      <c r="I21" s="24">
        <v>-36.4</v>
      </c>
      <c r="J21" s="25">
        <v>46199.0</v>
      </c>
      <c r="K21" s="13" t="s">
        <v>62</v>
      </c>
    </row>
    <row r="22" ht="19.5" customHeight="1">
      <c r="A22" s="12" t="s">
        <v>72</v>
      </c>
      <c r="B22" s="12" t="s">
        <v>50</v>
      </c>
      <c r="C22" s="12" t="s">
        <v>58</v>
      </c>
      <c r="D22" s="20">
        <v>101959.0</v>
      </c>
      <c r="E22" s="20">
        <v>92671.0</v>
      </c>
      <c r="F22" s="20">
        <v>119807.0</v>
      </c>
      <c r="G22" s="20">
        <v>131239.0</v>
      </c>
      <c r="H22" s="20">
        <v>445676.0</v>
      </c>
      <c r="I22" s="21">
        <v>28.7</v>
      </c>
      <c r="J22" s="22">
        <v>46204.0</v>
      </c>
      <c r="K22" s="12" t="s">
        <v>52</v>
      </c>
    </row>
    <row r="23" ht="19.5" customHeight="1">
      <c r="A23" s="13" t="s">
        <v>73</v>
      </c>
      <c r="B23" s="13" t="s">
        <v>54</v>
      </c>
      <c r="C23" s="13" t="s">
        <v>61</v>
      </c>
      <c r="D23" s="23">
        <v>40032.0</v>
      </c>
      <c r="E23" s="23">
        <v>38500.0</v>
      </c>
      <c r="F23" s="23">
        <v>29839.0</v>
      </c>
      <c r="G23" s="23">
        <v>62562.0</v>
      </c>
      <c r="H23" s="23">
        <v>170933.0</v>
      </c>
      <c r="I23" s="24">
        <v>56.3</v>
      </c>
      <c r="J23" s="25">
        <v>46197.0</v>
      </c>
      <c r="K23" s="13" t="s">
        <v>52</v>
      </c>
    </row>
    <row r="24" ht="19.5" customHeight="1">
      <c r="A24" s="12" t="s">
        <v>74</v>
      </c>
      <c r="B24" s="12" t="s">
        <v>57</v>
      </c>
      <c r="C24" s="12" t="s">
        <v>64</v>
      </c>
      <c r="D24" s="20">
        <v>89514.0</v>
      </c>
      <c r="E24" s="20">
        <v>120212.0</v>
      </c>
      <c r="F24" s="20">
        <v>101960.0</v>
      </c>
      <c r="G24" s="20">
        <v>106600.0</v>
      </c>
      <c r="H24" s="20">
        <v>418286.0</v>
      </c>
      <c r="I24" s="21">
        <v>19.1</v>
      </c>
      <c r="J24" s="22">
        <v>46213.0</v>
      </c>
      <c r="K24" s="12" t="s">
        <v>62</v>
      </c>
    </row>
    <row r="25" ht="19.5" customHeight="1">
      <c r="A25" s="13" t="s">
        <v>75</v>
      </c>
      <c r="B25" s="13" t="s">
        <v>60</v>
      </c>
      <c r="C25" s="13" t="s">
        <v>51</v>
      </c>
      <c r="D25" s="23">
        <v>118000.0</v>
      </c>
      <c r="E25" s="23">
        <v>125000.0</v>
      </c>
      <c r="F25" s="23">
        <v>130000.0</v>
      </c>
      <c r="G25" s="23">
        <v>138000.0</v>
      </c>
      <c r="H25" s="23">
        <v>511000.0</v>
      </c>
      <c r="I25" s="24">
        <v>16.9</v>
      </c>
      <c r="J25" s="25">
        <v>46191.0</v>
      </c>
      <c r="K25" s="13" t="s">
        <v>52</v>
      </c>
    </row>
    <row r="26" ht="19.5" customHeight="1">
      <c r="A26" s="12" t="s">
        <v>76</v>
      </c>
      <c r="B26" s="12" t="s">
        <v>50</v>
      </c>
      <c r="C26" s="12" t="s">
        <v>55</v>
      </c>
      <c r="D26" s="20">
        <v>60306.0</v>
      </c>
      <c r="E26" s="20">
        <v>52322.0</v>
      </c>
      <c r="F26" s="20">
        <v>49257.0</v>
      </c>
      <c r="G26" s="20">
        <v>75616.0</v>
      </c>
      <c r="H26" s="20">
        <v>237501.0</v>
      </c>
      <c r="I26" s="21">
        <v>25.4</v>
      </c>
      <c r="J26" s="22">
        <v>46202.0</v>
      </c>
      <c r="K26" s="12" t="s">
        <v>52</v>
      </c>
    </row>
    <row r="27" ht="19.5" customHeight="1">
      <c r="A27" s="13" t="s">
        <v>77</v>
      </c>
      <c r="B27" s="13" t="s">
        <v>54</v>
      </c>
      <c r="C27" s="13" t="s">
        <v>58</v>
      </c>
      <c r="D27" s="23">
        <v>30322.0</v>
      </c>
      <c r="E27" s="23">
        <v>23043.0</v>
      </c>
      <c r="F27" s="23">
        <v>31455.0</v>
      </c>
      <c r="G27" s="23">
        <v>25936.0</v>
      </c>
      <c r="H27" s="23">
        <v>110756.0</v>
      </c>
      <c r="I27" s="24">
        <v>-14.5</v>
      </c>
      <c r="J27" s="25">
        <v>46154.0</v>
      </c>
      <c r="K27" s="13" t="s">
        <v>52</v>
      </c>
    </row>
    <row r="28" ht="19.5" customHeight="1">
      <c r="A28" s="12" t="s">
        <v>78</v>
      </c>
      <c r="B28" s="12" t="s">
        <v>57</v>
      </c>
      <c r="C28" s="12" t="s">
        <v>61</v>
      </c>
      <c r="D28" s="20">
        <v>45000.0</v>
      </c>
      <c r="E28" s="20">
        <v>50000.0</v>
      </c>
      <c r="F28" s="20">
        <v>55000.0</v>
      </c>
      <c r="G28" s="20">
        <v>60000.0</v>
      </c>
      <c r="H28" s="20">
        <v>210000.0</v>
      </c>
      <c r="I28" s="21">
        <v>33.3</v>
      </c>
      <c r="J28" s="22">
        <v>46205.0</v>
      </c>
      <c r="K28" s="12" t="s">
        <v>52</v>
      </c>
    </row>
    <row r="29" ht="19.5" customHeight="1">
      <c r="A29" s="13" t="s">
        <v>79</v>
      </c>
      <c r="B29" s="13" t="s">
        <v>60</v>
      </c>
      <c r="C29" s="13" t="s">
        <v>64</v>
      </c>
      <c r="D29" s="23">
        <v>92063.0</v>
      </c>
      <c r="E29" s="23">
        <v>75085.0</v>
      </c>
      <c r="F29" s="23">
        <v>98959.0</v>
      </c>
      <c r="G29" s="23">
        <v>118326.0</v>
      </c>
      <c r="H29" s="23">
        <v>384433.0</v>
      </c>
      <c r="I29" s="24">
        <v>28.5</v>
      </c>
      <c r="J29" s="25">
        <v>46224.0</v>
      </c>
      <c r="K29" s="13" t="s">
        <v>62</v>
      </c>
    </row>
    <row r="30" ht="19.5" customHeight="1">
      <c r="A30" s="12" t="s">
        <v>49</v>
      </c>
      <c r="B30" s="12" t="s">
        <v>50</v>
      </c>
      <c r="C30" s="12" t="s">
        <v>51</v>
      </c>
      <c r="D30" s="20">
        <v>105000.0</v>
      </c>
      <c r="E30" s="20">
        <v>112000.0</v>
      </c>
      <c r="F30" s="20">
        <v>98000.0</v>
      </c>
      <c r="G30" s="20">
        <v>118000.0</v>
      </c>
      <c r="H30" s="20">
        <v>433000.0</v>
      </c>
      <c r="I30" s="21">
        <v>12.4</v>
      </c>
      <c r="J30" s="22">
        <v>46184.0</v>
      </c>
      <c r="K30" s="12" t="s">
        <v>52</v>
      </c>
    </row>
    <row r="31" ht="19.5" customHeight="1">
      <c r="A31" s="13" t="s">
        <v>53</v>
      </c>
      <c r="B31" s="13" t="s">
        <v>54</v>
      </c>
      <c r="C31" s="13" t="s">
        <v>55</v>
      </c>
      <c r="D31" s="23">
        <v>104259.0</v>
      </c>
      <c r="E31" s="23">
        <v>106468.0</v>
      </c>
      <c r="F31" s="23">
        <v>87409.0</v>
      </c>
      <c r="G31" s="23">
        <v>103977.0</v>
      </c>
      <c r="H31" s="23">
        <v>402113.0</v>
      </c>
      <c r="I31" s="24">
        <v>-0.3</v>
      </c>
      <c r="J31" s="25">
        <v>46196.0</v>
      </c>
      <c r="K31" s="13" t="s">
        <v>52</v>
      </c>
    </row>
    <row r="32" ht="19.5" customHeight="1">
      <c r="A32" s="12" t="s">
        <v>56</v>
      </c>
      <c r="B32" s="12" t="s">
        <v>57</v>
      </c>
      <c r="C32" s="12" t="s">
        <v>58</v>
      </c>
      <c r="D32" s="20">
        <v>93579.0</v>
      </c>
      <c r="E32" s="20">
        <v>100811.0</v>
      </c>
      <c r="F32" s="20">
        <v>119061.0</v>
      </c>
      <c r="G32" s="20">
        <v>106937.0</v>
      </c>
      <c r="H32" s="20">
        <v>420388.0</v>
      </c>
      <c r="I32" s="21">
        <v>14.3</v>
      </c>
      <c r="J32" s="22">
        <v>46199.0</v>
      </c>
      <c r="K32" s="12" t="s">
        <v>52</v>
      </c>
    </row>
    <row r="33" ht="19.5" customHeight="1">
      <c r="A33" s="13" t="s">
        <v>59</v>
      </c>
      <c r="B33" s="13" t="s">
        <v>60</v>
      </c>
      <c r="C33" s="13" t="s">
        <v>61</v>
      </c>
      <c r="D33" s="23">
        <v>18000.0</v>
      </c>
      <c r="E33" s="23">
        <v>15000.0</v>
      </c>
      <c r="F33" s="23">
        <v>12000.0</v>
      </c>
      <c r="G33" s="23">
        <v>10000.0</v>
      </c>
      <c r="H33" s="23">
        <v>55000.0</v>
      </c>
      <c r="I33" s="24">
        <v>-44.4</v>
      </c>
      <c r="J33" s="25">
        <v>46203.0</v>
      </c>
      <c r="K33" s="13" t="s">
        <v>62</v>
      </c>
    </row>
    <row r="34" ht="19.5" customHeight="1">
      <c r="A34" s="12" t="s">
        <v>63</v>
      </c>
      <c r="B34" s="12" t="s">
        <v>50</v>
      </c>
      <c r="C34" s="12" t="s">
        <v>64</v>
      </c>
      <c r="D34" s="20">
        <v>86784.0</v>
      </c>
      <c r="E34" s="20">
        <v>90729.0</v>
      </c>
      <c r="F34" s="20">
        <v>111101.0</v>
      </c>
      <c r="G34" s="20">
        <v>129211.0</v>
      </c>
      <c r="H34" s="20">
        <v>417825.0</v>
      </c>
      <c r="I34" s="21">
        <v>48.9</v>
      </c>
      <c r="J34" s="22">
        <v>46209.0</v>
      </c>
      <c r="K34" s="12" t="s">
        <v>62</v>
      </c>
    </row>
    <row r="35" ht="19.5" customHeight="1">
      <c r="A35" s="13" t="s">
        <v>65</v>
      </c>
      <c r="B35" s="13" t="s">
        <v>54</v>
      </c>
      <c r="C35" s="13" t="s">
        <v>51</v>
      </c>
      <c r="D35" s="23">
        <v>40033.0</v>
      </c>
      <c r="E35" s="23">
        <v>45606.0</v>
      </c>
      <c r="F35" s="23">
        <v>52558.0</v>
      </c>
      <c r="G35" s="23">
        <v>45546.0</v>
      </c>
      <c r="H35" s="23">
        <v>183743.0</v>
      </c>
      <c r="I35" s="24">
        <v>13.8</v>
      </c>
      <c r="J35" s="25">
        <v>46198.0</v>
      </c>
      <c r="K35" s="13" t="s">
        <v>52</v>
      </c>
    </row>
    <row r="36" ht="19.5" customHeight="1">
      <c r="A36" s="12" t="s">
        <v>66</v>
      </c>
      <c r="B36" s="12" t="s">
        <v>57</v>
      </c>
      <c r="C36" s="12" t="s">
        <v>55</v>
      </c>
      <c r="D36" s="20">
        <v>28326.0</v>
      </c>
      <c r="E36" s="20">
        <v>27457.0</v>
      </c>
      <c r="F36" s="20">
        <v>32186.0</v>
      </c>
      <c r="G36" s="20">
        <v>33267.0</v>
      </c>
      <c r="H36" s="20">
        <v>121236.0</v>
      </c>
      <c r="I36" s="21">
        <v>17.4</v>
      </c>
      <c r="J36" s="22">
        <v>46201.0</v>
      </c>
      <c r="K36" s="12" t="s">
        <v>52</v>
      </c>
    </row>
    <row r="37" ht="19.5" customHeight="1">
      <c r="A37" s="13" t="s">
        <v>67</v>
      </c>
      <c r="B37" s="13" t="s">
        <v>60</v>
      </c>
      <c r="C37" s="13" t="s">
        <v>58</v>
      </c>
      <c r="D37" s="23">
        <v>95000.0</v>
      </c>
      <c r="E37" s="23">
        <v>88000.0</v>
      </c>
      <c r="F37" s="23">
        <v>92000.0</v>
      </c>
      <c r="G37" s="23">
        <v>99000.0</v>
      </c>
      <c r="H37" s="23">
        <v>374000.0</v>
      </c>
      <c r="I37" s="24">
        <v>4.2</v>
      </c>
      <c r="J37" s="25">
        <v>46219.0</v>
      </c>
      <c r="K37" s="13" t="s">
        <v>52</v>
      </c>
    </row>
    <row r="38" ht="19.5" customHeight="1">
      <c r="A38" s="12" t="s">
        <v>68</v>
      </c>
      <c r="B38" s="12" t="s">
        <v>50</v>
      </c>
      <c r="C38" s="12" t="s">
        <v>61</v>
      </c>
      <c r="D38" s="20">
        <v>114466.0</v>
      </c>
      <c r="E38" s="20">
        <v>89304.0</v>
      </c>
      <c r="F38" s="20">
        <v>159829.0</v>
      </c>
      <c r="G38" s="20">
        <v>160332.0</v>
      </c>
      <c r="H38" s="20">
        <v>523931.0</v>
      </c>
      <c r="I38" s="21">
        <v>40.1</v>
      </c>
      <c r="J38" s="22">
        <v>46192.0</v>
      </c>
      <c r="K38" s="12" t="s">
        <v>52</v>
      </c>
    </row>
    <row r="39" ht="19.5" customHeight="1">
      <c r="A39" s="13" t="s">
        <v>69</v>
      </c>
      <c r="B39" s="13" t="s">
        <v>54</v>
      </c>
      <c r="C39" s="13" t="s">
        <v>64</v>
      </c>
      <c r="D39" s="23">
        <v>104012.0</v>
      </c>
      <c r="E39" s="23">
        <v>97576.0</v>
      </c>
      <c r="F39" s="23">
        <v>89881.0</v>
      </c>
      <c r="G39" s="23">
        <v>96369.0</v>
      </c>
      <c r="H39" s="23">
        <v>387838.0</v>
      </c>
      <c r="I39" s="24">
        <v>-7.3</v>
      </c>
      <c r="J39" s="25">
        <v>46200.0</v>
      </c>
      <c r="K39" s="13" t="s">
        <v>62</v>
      </c>
    </row>
    <row r="40" ht="19.5" customHeight="1">
      <c r="A40" s="12" t="s">
        <v>70</v>
      </c>
      <c r="B40" s="12" t="s">
        <v>57</v>
      </c>
      <c r="C40" s="12" t="s">
        <v>51</v>
      </c>
      <c r="D40" s="20">
        <v>20425.0</v>
      </c>
      <c r="E40" s="20">
        <v>27934.0</v>
      </c>
      <c r="F40" s="20">
        <v>28355.0</v>
      </c>
      <c r="G40" s="20">
        <v>20643.0</v>
      </c>
      <c r="H40" s="20">
        <v>97357.0</v>
      </c>
      <c r="I40" s="21">
        <v>1.1</v>
      </c>
      <c r="J40" s="22">
        <v>46169.0</v>
      </c>
      <c r="K40" s="12" t="s">
        <v>52</v>
      </c>
    </row>
    <row r="41" ht="19.5" customHeight="1">
      <c r="A41" s="13" t="s">
        <v>71</v>
      </c>
      <c r="B41" s="13" t="s">
        <v>60</v>
      </c>
      <c r="C41" s="13" t="s">
        <v>55</v>
      </c>
      <c r="D41" s="23">
        <v>22000.0</v>
      </c>
      <c r="E41" s="23">
        <v>19000.0</v>
      </c>
      <c r="F41" s="23">
        <v>17000.0</v>
      </c>
      <c r="G41" s="23">
        <v>14000.0</v>
      </c>
      <c r="H41" s="23">
        <v>72000.0</v>
      </c>
      <c r="I41" s="24">
        <v>-36.4</v>
      </c>
      <c r="J41" s="25">
        <v>46199.0</v>
      </c>
      <c r="K41" s="13" t="s">
        <v>62</v>
      </c>
    </row>
    <row r="42" ht="19.5" customHeight="1">
      <c r="A42" s="12" t="s">
        <v>72</v>
      </c>
      <c r="B42" s="12" t="s">
        <v>50</v>
      </c>
      <c r="C42" s="12" t="s">
        <v>58</v>
      </c>
      <c r="D42" s="20">
        <v>101959.0</v>
      </c>
      <c r="E42" s="20">
        <v>92671.0</v>
      </c>
      <c r="F42" s="20">
        <v>119807.0</v>
      </c>
      <c r="G42" s="20">
        <v>131239.0</v>
      </c>
      <c r="H42" s="20">
        <v>445676.0</v>
      </c>
      <c r="I42" s="21">
        <v>28.7</v>
      </c>
      <c r="J42" s="22">
        <v>46204.0</v>
      </c>
      <c r="K42" s="12" t="s">
        <v>52</v>
      </c>
    </row>
    <row r="43" ht="19.5" customHeight="1">
      <c r="A43" s="13" t="s">
        <v>73</v>
      </c>
      <c r="B43" s="13" t="s">
        <v>54</v>
      </c>
      <c r="C43" s="13" t="s">
        <v>61</v>
      </c>
      <c r="D43" s="23">
        <v>40032.0</v>
      </c>
      <c r="E43" s="23">
        <v>38500.0</v>
      </c>
      <c r="F43" s="23">
        <v>29839.0</v>
      </c>
      <c r="G43" s="23">
        <v>62562.0</v>
      </c>
      <c r="H43" s="23">
        <v>170933.0</v>
      </c>
      <c r="I43" s="24">
        <v>56.3</v>
      </c>
      <c r="J43" s="25">
        <v>46197.0</v>
      </c>
      <c r="K43" s="13" t="s">
        <v>52</v>
      </c>
    </row>
    <row r="44" ht="19.5" customHeight="1">
      <c r="A44" s="12" t="s">
        <v>74</v>
      </c>
      <c r="B44" s="12" t="s">
        <v>57</v>
      </c>
      <c r="C44" s="12" t="s">
        <v>64</v>
      </c>
      <c r="D44" s="20">
        <v>89514.0</v>
      </c>
      <c r="E44" s="20">
        <v>120212.0</v>
      </c>
      <c r="F44" s="20">
        <v>101960.0</v>
      </c>
      <c r="G44" s="20">
        <v>106600.0</v>
      </c>
      <c r="H44" s="20">
        <v>418286.0</v>
      </c>
      <c r="I44" s="21">
        <v>19.1</v>
      </c>
      <c r="J44" s="22">
        <v>46213.0</v>
      </c>
      <c r="K44" s="12" t="s">
        <v>62</v>
      </c>
    </row>
    <row r="45" ht="19.5" customHeight="1">
      <c r="A45" s="13" t="s">
        <v>75</v>
      </c>
      <c r="B45" s="13" t="s">
        <v>60</v>
      </c>
      <c r="C45" s="13" t="s">
        <v>51</v>
      </c>
      <c r="D45" s="23">
        <v>118000.0</v>
      </c>
      <c r="E45" s="23">
        <v>125000.0</v>
      </c>
      <c r="F45" s="23">
        <v>130000.0</v>
      </c>
      <c r="G45" s="23">
        <v>138000.0</v>
      </c>
      <c r="H45" s="23">
        <v>511000.0</v>
      </c>
      <c r="I45" s="24">
        <v>16.9</v>
      </c>
      <c r="J45" s="25">
        <v>46191.0</v>
      </c>
      <c r="K45" s="13" t="s">
        <v>52</v>
      </c>
    </row>
    <row r="46" ht="19.5" customHeight="1">
      <c r="A46" s="12" t="s">
        <v>76</v>
      </c>
      <c r="B46" s="12" t="s">
        <v>50</v>
      </c>
      <c r="C46" s="12" t="s">
        <v>55</v>
      </c>
      <c r="D46" s="20">
        <v>60306.0</v>
      </c>
      <c r="E46" s="20">
        <v>52322.0</v>
      </c>
      <c r="F46" s="20">
        <v>49257.0</v>
      </c>
      <c r="G46" s="20">
        <v>75616.0</v>
      </c>
      <c r="H46" s="20">
        <v>237501.0</v>
      </c>
      <c r="I46" s="21">
        <v>25.4</v>
      </c>
      <c r="J46" s="22">
        <v>46202.0</v>
      </c>
      <c r="K46" s="12" t="s">
        <v>52</v>
      </c>
    </row>
    <row r="47" ht="19.5" customHeight="1">
      <c r="A47" s="13" t="s">
        <v>77</v>
      </c>
      <c r="B47" s="13" t="s">
        <v>54</v>
      </c>
      <c r="C47" s="13" t="s">
        <v>58</v>
      </c>
      <c r="D47" s="23">
        <v>30322.0</v>
      </c>
      <c r="E47" s="23">
        <v>23043.0</v>
      </c>
      <c r="F47" s="23">
        <v>31455.0</v>
      </c>
      <c r="G47" s="23">
        <v>25936.0</v>
      </c>
      <c r="H47" s="23">
        <v>110756.0</v>
      </c>
      <c r="I47" s="24">
        <v>-14.5</v>
      </c>
      <c r="J47" s="25">
        <v>46154.0</v>
      </c>
      <c r="K47" s="13" t="s">
        <v>52</v>
      </c>
    </row>
    <row r="48" ht="19.5" customHeight="1">
      <c r="A48" s="12" t="s">
        <v>78</v>
      </c>
      <c r="B48" s="12" t="s">
        <v>57</v>
      </c>
      <c r="C48" s="12" t="s">
        <v>61</v>
      </c>
      <c r="D48" s="20">
        <v>45000.0</v>
      </c>
      <c r="E48" s="20">
        <v>50000.0</v>
      </c>
      <c r="F48" s="20">
        <v>55000.0</v>
      </c>
      <c r="G48" s="20">
        <v>60000.0</v>
      </c>
      <c r="H48" s="20">
        <v>210000.0</v>
      </c>
      <c r="I48" s="21">
        <v>33.3</v>
      </c>
      <c r="J48" s="22">
        <v>46205.0</v>
      </c>
      <c r="K48" s="12" t="s">
        <v>52</v>
      </c>
    </row>
    <row r="49" ht="19.5" customHeight="1">
      <c r="A49" s="13" t="s">
        <v>79</v>
      </c>
      <c r="B49" s="13" t="s">
        <v>60</v>
      </c>
      <c r="C49" s="13" t="s">
        <v>64</v>
      </c>
      <c r="D49" s="23">
        <v>92063.0</v>
      </c>
      <c r="E49" s="23">
        <v>75085.0</v>
      </c>
      <c r="F49" s="23">
        <v>98959.0</v>
      </c>
      <c r="G49" s="23">
        <v>118326.0</v>
      </c>
      <c r="H49" s="23">
        <v>384433.0</v>
      </c>
      <c r="I49" s="24">
        <v>28.5</v>
      </c>
      <c r="J49" s="25">
        <v>46224.0</v>
      </c>
      <c r="K49" s="13" t="s">
        <v>62</v>
      </c>
    </row>
    <row r="50" ht="19.5" customHeight="1">
      <c r="A50" s="12" t="s">
        <v>171</v>
      </c>
      <c r="B50" s="12" t="s">
        <v>50</v>
      </c>
      <c r="C50" s="12" t="s">
        <v>51</v>
      </c>
      <c r="D50" s="20">
        <v>47760.0</v>
      </c>
      <c r="E50" s="20">
        <v>64487.0</v>
      </c>
      <c r="F50" s="20">
        <v>61120.0</v>
      </c>
      <c r="G50" s="20">
        <v>64566.0</v>
      </c>
      <c r="H50" s="20">
        <v>237933.0</v>
      </c>
      <c r="I50" s="21">
        <v>35.2</v>
      </c>
      <c r="J50" s="22">
        <v>46194.0</v>
      </c>
      <c r="K50" s="12" t="s">
        <v>52</v>
      </c>
    </row>
    <row r="51" ht="19.5" customHeight="1">
      <c r="A51" s="13" t="s">
        <v>172</v>
      </c>
      <c r="B51" s="13" t="s">
        <v>54</v>
      </c>
      <c r="C51" s="13" t="s">
        <v>55</v>
      </c>
      <c r="D51" s="23">
        <v>113447.0</v>
      </c>
      <c r="E51" s="23">
        <v>104167.0</v>
      </c>
      <c r="F51" s="23">
        <v>169675.0</v>
      </c>
      <c r="G51" s="23">
        <v>149738.0</v>
      </c>
      <c r="H51" s="23">
        <v>537027.0</v>
      </c>
      <c r="I51" s="24">
        <v>32.0</v>
      </c>
      <c r="J51" s="25">
        <v>46207.0</v>
      </c>
      <c r="K51" s="13" t="s">
        <v>52</v>
      </c>
    </row>
    <row r="52" ht="19.5" customHeight="1">
      <c r="A52" s="12" t="s">
        <v>173</v>
      </c>
      <c r="B52" s="12" t="s">
        <v>57</v>
      </c>
      <c r="C52" s="12" t="s">
        <v>58</v>
      </c>
      <c r="D52" s="20">
        <v>77422.0</v>
      </c>
      <c r="E52" s="20">
        <v>102950.0</v>
      </c>
      <c r="F52" s="20">
        <v>77912.0</v>
      </c>
      <c r="G52" s="20">
        <v>77292.0</v>
      </c>
      <c r="H52" s="20">
        <v>335576.0</v>
      </c>
      <c r="I52" s="21">
        <v>-0.2</v>
      </c>
      <c r="J52" s="22">
        <v>46179.0</v>
      </c>
      <c r="K52" s="12" t="s">
        <v>52</v>
      </c>
    </row>
    <row r="53" ht="19.5" customHeight="1">
      <c r="A53" s="13" t="s">
        <v>174</v>
      </c>
      <c r="B53" s="13" t="s">
        <v>60</v>
      </c>
      <c r="C53" s="13" t="s">
        <v>61</v>
      </c>
      <c r="D53" s="23">
        <v>28392.0</v>
      </c>
      <c r="E53" s="23">
        <v>26593.0</v>
      </c>
      <c r="F53" s="23">
        <v>32068.0</v>
      </c>
      <c r="G53" s="23">
        <v>27940.0</v>
      </c>
      <c r="H53" s="23">
        <v>114993.0</v>
      </c>
      <c r="I53" s="24">
        <v>-1.6</v>
      </c>
      <c r="J53" s="25">
        <v>46211.0</v>
      </c>
      <c r="K53" s="13" t="s">
        <v>52</v>
      </c>
    </row>
    <row r="54" ht="19.5" customHeight="1">
      <c r="A54" s="12" t="s">
        <v>175</v>
      </c>
      <c r="B54" s="12" t="s">
        <v>50</v>
      </c>
      <c r="C54" s="12" t="s">
        <v>64</v>
      </c>
      <c r="D54" s="20">
        <v>48864.0</v>
      </c>
      <c r="E54" s="20">
        <v>34450.0</v>
      </c>
      <c r="F54" s="20">
        <v>60447.0</v>
      </c>
      <c r="G54" s="20">
        <v>41392.0</v>
      </c>
      <c r="H54" s="20">
        <v>185153.0</v>
      </c>
      <c r="I54" s="21">
        <v>-15.3</v>
      </c>
      <c r="J54" s="22">
        <v>46190.0</v>
      </c>
      <c r="K54" s="12" t="s">
        <v>62</v>
      </c>
    </row>
    <row r="55" ht="19.5" customHeight="1">
      <c r="A55" s="13" t="s">
        <v>176</v>
      </c>
      <c r="B55" s="13" t="s">
        <v>54</v>
      </c>
      <c r="C55" s="13" t="s">
        <v>51</v>
      </c>
      <c r="D55" s="23">
        <v>28834.0</v>
      </c>
      <c r="E55" s="23">
        <v>38458.0</v>
      </c>
      <c r="F55" s="23">
        <v>39608.0</v>
      </c>
      <c r="G55" s="23">
        <v>24701.0</v>
      </c>
      <c r="H55" s="23">
        <v>131601.0</v>
      </c>
      <c r="I55" s="24">
        <v>-14.3</v>
      </c>
      <c r="J55" s="25">
        <v>46200.0</v>
      </c>
      <c r="K55" s="13" t="s">
        <v>52</v>
      </c>
    </row>
    <row r="56" ht="19.5" customHeight="1">
      <c r="A56" s="12" t="s">
        <v>177</v>
      </c>
      <c r="B56" s="12" t="s">
        <v>57</v>
      </c>
      <c r="C56" s="12" t="s">
        <v>55</v>
      </c>
      <c r="D56" s="20">
        <v>51195.0</v>
      </c>
      <c r="E56" s="20">
        <v>45816.0</v>
      </c>
      <c r="F56" s="20">
        <v>53082.0</v>
      </c>
      <c r="G56" s="20">
        <v>63040.0</v>
      </c>
      <c r="H56" s="20">
        <v>213133.0</v>
      </c>
      <c r="I56" s="21">
        <v>23.1</v>
      </c>
      <c r="J56" s="22">
        <v>46196.0</v>
      </c>
      <c r="K56" s="12" t="s">
        <v>52</v>
      </c>
    </row>
    <row r="57" ht="19.5" customHeight="1">
      <c r="A57" s="13" t="s">
        <v>178</v>
      </c>
      <c r="B57" s="13" t="s">
        <v>60</v>
      </c>
      <c r="C57" s="13" t="s">
        <v>58</v>
      </c>
      <c r="D57" s="23">
        <v>114811.0</v>
      </c>
      <c r="E57" s="23">
        <v>155552.0</v>
      </c>
      <c r="F57" s="23">
        <v>127892.0</v>
      </c>
      <c r="G57" s="23">
        <v>135263.0</v>
      </c>
      <c r="H57" s="23">
        <v>533518.0</v>
      </c>
      <c r="I57" s="24">
        <v>17.8</v>
      </c>
      <c r="J57" s="25">
        <v>46205.0</v>
      </c>
      <c r="K57" s="13" t="s">
        <v>52</v>
      </c>
    </row>
    <row r="58" ht="19.5" customHeight="1">
      <c r="A58" s="12" t="s">
        <v>179</v>
      </c>
      <c r="B58" s="12" t="s">
        <v>50</v>
      </c>
      <c r="C58" s="12" t="s">
        <v>61</v>
      </c>
      <c r="D58" s="20">
        <v>81993.0</v>
      </c>
      <c r="E58" s="20">
        <v>103741.0</v>
      </c>
      <c r="F58" s="20">
        <v>63246.0</v>
      </c>
      <c r="G58" s="20">
        <v>71952.0</v>
      </c>
      <c r="H58" s="20">
        <v>320932.0</v>
      </c>
      <c r="I58" s="21">
        <v>-12.2</v>
      </c>
      <c r="J58" s="22">
        <v>46188.0</v>
      </c>
      <c r="K58" s="12" t="s">
        <v>52</v>
      </c>
    </row>
    <row r="59" ht="19.5" customHeight="1">
      <c r="A59" s="13" t="s">
        <v>180</v>
      </c>
      <c r="B59" s="13" t="s">
        <v>54</v>
      </c>
      <c r="C59" s="13" t="s">
        <v>64</v>
      </c>
      <c r="D59" s="23">
        <v>76498.0</v>
      </c>
      <c r="E59" s="23">
        <v>72520.0</v>
      </c>
      <c r="F59" s="23">
        <v>74202.0</v>
      </c>
      <c r="G59" s="23">
        <v>114063.0</v>
      </c>
      <c r="H59" s="23">
        <v>337283.0</v>
      </c>
      <c r="I59" s="24">
        <v>49.1</v>
      </c>
      <c r="J59" s="25">
        <v>46218.0</v>
      </c>
      <c r="K59" s="13" t="s">
        <v>62</v>
      </c>
    </row>
    <row r="60" ht="15.75" customHeight="1"/>
    <row r="61" ht="15.75" customHeight="1"/>
    <row r="62" ht="24.0" customHeight="1">
      <c r="A62" s="30" t="s">
        <v>181</v>
      </c>
      <c r="B62" s="17"/>
      <c r="C62" s="17"/>
      <c r="D62" s="17"/>
      <c r="E62" s="17"/>
      <c r="F62" s="17"/>
      <c r="G62" s="17"/>
      <c r="H62" s="17"/>
      <c r="I62" s="17"/>
      <c r="J62" s="17"/>
      <c r="K62" s="18"/>
    </row>
    <row r="63" ht="21.75" customHeight="1">
      <c r="A63" s="11" t="s">
        <v>182</v>
      </c>
      <c r="B63" s="11" t="s">
        <v>183</v>
      </c>
      <c r="C63" s="11" t="s">
        <v>184</v>
      </c>
    </row>
    <row r="64" ht="21.75" customHeight="1">
      <c r="A64" s="31" t="s">
        <v>185</v>
      </c>
      <c r="B64" s="31" t="s">
        <v>186</v>
      </c>
      <c r="C64" s="32" t="s">
        <v>187</v>
      </c>
    </row>
    <row r="65" ht="21.75" customHeight="1">
      <c r="A65" s="33" t="s">
        <v>188</v>
      </c>
      <c r="B65" s="33" t="s">
        <v>189</v>
      </c>
      <c r="C65" s="34" t="s">
        <v>190</v>
      </c>
    </row>
    <row r="66" ht="21.75" customHeight="1">
      <c r="A66" s="31" t="s">
        <v>191</v>
      </c>
      <c r="B66" s="31" t="s">
        <v>192</v>
      </c>
      <c r="C66" s="32" t="s">
        <v>193</v>
      </c>
    </row>
    <row r="67" ht="21.75" customHeight="1">
      <c r="A67" s="33" t="s">
        <v>194</v>
      </c>
      <c r="B67" s="33" t="s">
        <v>195</v>
      </c>
      <c r="C67" s="34" t="s">
        <v>196</v>
      </c>
    </row>
    <row r="68" ht="21.75" customHeight="1">
      <c r="A68" s="31" t="s">
        <v>197</v>
      </c>
      <c r="B68" s="31" t="s">
        <v>198</v>
      </c>
      <c r="C68" s="32" t="s">
        <v>199</v>
      </c>
    </row>
    <row r="69" ht="15.75" customHeight="1"/>
    <row r="70" ht="24.0" customHeight="1">
      <c r="A70" s="26" t="s">
        <v>200</v>
      </c>
      <c r="B70" s="17"/>
      <c r="C70" s="17"/>
      <c r="D70" s="17"/>
      <c r="E70" s="17"/>
      <c r="F70" s="17"/>
      <c r="G70" s="17"/>
      <c r="H70" s="17"/>
      <c r="I70" s="17"/>
      <c r="J70" s="17"/>
      <c r="K70" s="18"/>
    </row>
    <row r="71" ht="37.5" customHeight="1">
      <c r="A71" s="27" t="s">
        <v>201</v>
      </c>
      <c r="B71" s="28" t="s">
        <v>202</v>
      </c>
      <c r="C71" s="17"/>
      <c r="D71" s="17"/>
      <c r="E71" s="17"/>
      <c r="F71" s="17"/>
      <c r="G71" s="17"/>
      <c r="H71" s="17"/>
      <c r="I71" s="17"/>
      <c r="J71" s="17"/>
      <c r="K71" s="18"/>
    </row>
    <row r="72" ht="37.5" customHeight="1">
      <c r="A72" s="27" t="s">
        <v>203</v>
      </c>
      <c r="B72" s="28" t="s">
        <v>204</v>
      </c>
      <c r="C72" s="17"/>
      <c r="D72" s="17"/>
      <c r="E72" s="17"/>
      <c r="F72" s="17"/>
      <c r="G72" s="17"/>
      <c r="H72" s="17"/>
      <c r="I72" s="17"/>
      <c r="J72" s="17"/>
      <c r="K72" s="18"/>
    </row>
    <row r="73" ht="37.5" customHeight="1">
      <c r="A73" s="27" t="s">
        <v>205</v>
      </c>
      <c r="B73" s="28" t="s">
        <v>206</v>
      </c>
      <c r="C73" s="17"/>
      <c r="D73" s="17"/>
      <c r="E73" s="17"/>
      <c r="F73" s="17"/>
      <c r="G73" s="17"/>
      <c r="H73" s="17"/>
      <c r="I73" s="17"/>
      <c r="J73" s="17"/>
      <c r="K73" s="18"/>
    </row>
    <row r="74" ht="37.5" customHeight="1">
      <c r="A74" s="27" t="s">
        <v>207</v>
      </c>
      <c r="B74" s="28" t="s">
        <v>208</v>
      </c>
      <c r="C74" s="17"/>
      <c r="D74" s="17"/>
      <c r="E74" s="17"/>
      <c r="F74" s="17"/>
      <c r="G74" s="17"/>
      <c r="H74" s="17"/>
      <c r="I74" s="17"/>
      <c r="J74" s="17"/>
      <c r="K74" s="18"/>
    </row>
    <row r="75" ht="37.5" customHeight="1">
      <c r="A75" s="27" t="s">
        <v>209</v>
      </c>
      <c r="B75" s="28" t="s">
        <v>210</v>
      </c>
      <c r="C75" s="17"/>
      <c r="D75" s="17"/>
      <c r="E75" s="17"/>
      <c r="F75" s="17"/>
      <c r="G75" s="17"/>
      <c r="H75" s="17"/>
      <c r="I75" s="17"/>
      <c r="J75" s="17"/>
      <c r="K75" s="18"/>
    </row>
    <row r="76" ht="37.5" customHeight="1">
      <c r="A76" s="27" t="s">
        <v>211</v>
      </c>
      <c r="B76" s="28" t="s">
        <v>212</v>
      </c>
      <c r="C76" s="17"/>
      <c r="D76" s="17"/>
      <c r="E76" s="17"/>
      <c r="F76" s="17"/>
      <c r="G76" s="17"/>
      <c r="H76" s="17"/>
      <c r="I76" s="17"/>
      <c r="J76" s="17"/>
      <c r="K76" s="18"/>
    </row>
    <row r="77" ht="37.5" customHeight="1">
      <c r="A77" s="27" t="s">
        <v>213</v>
      </c>
      <c r="B77" s="28" t="s">
        <v>214</v>
      </c>
      <c r="C77" s="17"/>
      <c r="D77" s="17"/>
      <c r="E77" s="17"/>
      <c r="F77" s="17"/>
      <c r="G77" s="17"/>
      <c r="H77" s="17"/>
      <c r="I77" s="17"/>
      <c r="J77" s="17"/>
      <c r="K77" s="18"/>
    </row>
    <row r="78" ht="37.5" customHeight="1">
      <c r="A78" s="27" t="s">
        <v>215</v>
      </c>
      <c r="B78" s="28" t="s">
        <v>216</v>
      </c>
      <c r="C78" s="17"/>
      <c r="D78" s="17"/>
      <c r="E78" s="17"/>
      <c r="F78" s="17"/>
      <c r="G78" s="17"/>
      <c r="H78" s="17"/>
      <c r="I78" s="17"/>
      <c r="J78" s="17"/>
      <c r="K78" s="18"/>
    </row>
    <row r="79" ht="37.5" customHeight="1">
      <c r="A79" s="27" t="s">
        <v>217</v>
      </c>
      <c r="B79" s="28" t="s">
        <v>218</v>
      </c>
      <c r="C79" s="17"/>
      <c r="D79" s="17"/>
      <c r="E79" s="17"/>
      <c r="F79" s="17"/>
      <c r="G79" s="17"/>
      <c r="H79" s="17"/>
      <c r="I79" s="17"/>
      <c r="J79" s="17"/>
      <c r="K79" s="18"/>
    </row>
    <row r="80" ht="30.0" customHeight="1">
      <c r="A80" s="29" t="s">
        <v>219</v>
      </c>
      <c r="B80" s="17"/>
      <c r="C80" s="17"/>
      <c r="D80" s="17"/>
      <c r="E80" s="17"/>
      <c r="F80" s="17"/>
      <c r="G80" s="17"/>
      <c r="H80" s="17"/>
      <c r="I80" s="17"/>
      <c r="J80" s="17"/>
      <c r="K80" s="18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73:K73"/>
    <mergeCell ref="B74:K74"/>
    <mergeCell ref="B75:K75"/>
    <mergeCell ref="B76:K76"/>
    <mergeCell ref="B77:K77"/>
    <mergeCell ref="B78:K78"/>
    <mergeCell ref="B79:K79"/>
    <mergeCell ref="A80:K80"/>
    <mergeCell ref="A1:K1"/>
    <mergeCell ref="A3:K3"/>
    <mergeCell ref="A7:K7"/>
    <mergeCell ref="A62:K62"/>
    <mergeCell ref="A70:K70"/>
    <mergeCell ref="B71:K71"/>
    <mergeCell ref="B72:K72"/>
  </mergeCells>
  <printOptions/>
  <pageMargins bottom="1.0" footer="0.0" header="0.0" left="0.75" right="0.75" top="1.0"/>
  <pageSetup paperSize="9" orientation="portrait"/>
  <drawing r:id="rId1"/>
</worksheet>
</file>