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5"/>
    <sheet state="visible" name="WhatIf_GoalSeek" sheetId="2" r:id="rId6"/>
    <sheet state="visible" name="DataTable" sheetId="3" r:id="rId7"/>
    <sheet state="visible" name="ScenarioMgr" sheetId="4" r:id="rId8"/>
  </sheets>
  <definedNames/>
  <calcPr/>
</workbook>
</file>

<file path=xl/sharedStrings.xml><?xml version="1.0" encoding="utf-8"?>
<sst xmlns="http://schemas.openxmlformats.org/spreadsheetml/2006/main" count="202" uniqueCount="178">
  <si>
    <t>DA_BI_Practice.xlsx  |  Data Analysis &amp; Business Intelligence</t>
  </si>
  <si>
    <t>Anudip Foundation — What-If Analysis: Goal Seek | Data Tables | Scenario Manager</t>
  </si>
  <si>
    <t>COLOUR LEGEND</t>
  </si>
  <si>
    <t>Green cell</t>
  </si>
  <si>
    <t>Input cell — your model assumptions (change these)</t>
  </si>
  <si>
    <t>Blue cell</t>
  </si>
  <si>
    <t>Output / Formula cell — calculated result (do not edit)</t>
  </si>
  <si>
    <t>Yellow cell</t>
  </si>
  <si>
    <t>Task instruction — read and follow</t>
  </si>
  <si>
    <t>Teal cell</t>
  </si>
  <si>
    <t>Exercise answer area — type your formula here</t>
  </si>
  <si>
    <t>Red-tinted</t>
  </si>
  <si>
    <t>Caution / warning — pay special attention</t>
  </si>
  <si>
    <t>SHEET MAP</t>
  </si>
  <si>
    <t>Sheet Name</t>
  </si>
  <si>
    <t>Module</t>
  </si>
  <si>
    <t>Contents</t>
  </si>
  <si>
    <t>WhatIf_GoalSeek</t>
  </si>
  <si>
    <t>Module 1 — Goal Seek</t>
  </si>
  <si>
    <t>Loan EMI calculator + Break-even model + Attendance model</t>
  </si>
  <si>
    <t>DataTable</t>
  </si>
  <si>
    <t>Module 2 — Data Tables</t>
  </si>
  <si>
    <t>One-Variable (EMI table) + Two-Variable (Profit grid)</t>
  </si>
  <si>
    <t>ScenarioMgr</t>
  </si>
  <si>
    <t>Module 3 — Scenario Manager</t>
  </si>
  <si>
    <t>Business P&amp;L model for Pessimistic / Realistic / Optimistic scenarios</t>
  </si>
  <si>
    <t>Module 1 — Goal Seek  |  What-If Analysis</t>
  </si>
  <si>
    <t>Use Data tab → What-If Analysis → Goal Seek to complete all exercises below.</t>
  </si>
  <si>
    <t>MODEL 1: LOAN EMI CALCULATOR  (Goal Seek Demo &amp; Exercise)</t>
  </si>
  <si>
    <t>INPUT CELLS (Green) — Trainer/Learner adjusts these</t>
  </si>
  <si>
    <t>OUTPUT CELL (Blue) — Calculated by formula</t>
  </si>
  <si>
    <t>Loan Amount (₹)</t>
  </si>
  <si>
    <t>Monthly EMI (₹)</t>
  </si>
  <si>
    <t>Annual Interest Rate</t>
  </si>
  <si>
    <t>PMT formula: =PMT(Rate/12, Months, -LoanAmt)</t>
  </si>
  <si>
    <t>Tenure (Months)</t>
  </si>
  <si>
    <t>Result shown as positive EMI amount</t>
  </si>
  <si>
    <t>GOAL SEEK EXERCISES — MODEL 1</t>
  </si>
  <si>
    <t>Ex 1 — DEMO:</t>
  </si>
  <si>
    <t>Trainer Demo: EMI budget = ₹12,000. Find max Loan Amount at 10%, 60 months.  →  Set B6:F6 = 12000, By Changing B6</t>
  </si>
  <si>
    <t>Ex 1a — Task:</t>
  </si>
  <si>
    <t>Goal Seek: What loan amount gives EMI = ₹10,000?  (Rate=10%, Tenure=60 mths)</t>
  </si>
  <si>
    <t>Ex 1b — Task:</t>
  </si>
  <si>
    <t>Goal Seek: What loan amount gives EMI = ₹15,000?  (Rate=10%, Tenure=60 mths)</t>
  </si>
  <si>
    <t>Ex 1c — Task:</t>
  </si>
  <si>
    <t>Goal Seek: At Loan=₹5,00,000 and 60 months, what interest rate gives EMI = ₹9,000?  By Changing B7</t>
  </si>
  <si>
    <t>MODEL 2: BREAK-EVEN / PROFIT CALCULATOR</t>
  </si>
  <si>
    <t>INPUT CELLS</t>
  </si>
  <si>
    <t>OUTPUT CELLS</t>
  </si>
  <si>
    <t>Unit Cost (₹)</t>
  </si>
  <si>
    <t>Total Revenue (₹)</t>
  </si>
  <si>
    <t>Units Sold</t>
  </si>
  <si>
    <t>Total Cost (₹)</t>
  </si>
  <si>
    <t>Selling Price (₹)</t>
  </si>
  <si>
    <t>Net Profit (₹)</t>
  </si>
  <si>
    <t>Profit Margin</t>
  </si>
  <si>
    <t>GOAL SEEK EXERCISES — MODEL 2</t>
  </si>
  <si>
    <t>Ex 2a — Break-Even:</t>
  </si>
  <si>
    <t>Goal Seek: What Selling Price (B20) gives Net Profit (F20) = ₹0?  (Break-even price)</t>
  </si>
  <si>
    <t>Ex 2b — Target:</t>
  </si>
  <si>
    <t>Goal Seek: What Selling Price gives Net Profit = ₹50,000?</t>
  </si>
  <si>
    <t>Ex 2c — Units:</t>
  </si>
  <si>
    <t>Goal Seek: At Price=₹300, what Units Sold (B19) achieves Profit = ₹1,00,000?</t>
  </si>
  <si>
    <t>Ex 2d — Verify:</t>
  </si>
  <si>
    <t>After Goal Seek: manually verify → (Selling Price − Unit Cost) × Units = Target Profit?</t>
  </si>
  <si>
    <t>MODEL 3: ATTENDANCE CALCULATOR</t>
  </si>
  <si>
    <t>Days Present</t>
  </si>
  <si>
    <t>Attendance %</t>
  </si>
  <si>
    <t>Working Days</t>
  </si>
  <si>
    <t>GOAL SEEK EXERCISES — MODEL 3</t>
  </si>
  <si>
    <t>Ex 3a — 75% Target:</t>
  </si>
  <si>
    <t>Goal Seek: How many Days Present (B30) gives exactly 75% attendance?</t>
  </si>
  <si>
    <t>Ex 3b — 80% Target:</t>
  </si>
  <si>
    <t>Goal Seek: How many Days Present gives exactly 80% attendance?</t>
  </si>
  <si>
    <t>Ex 3c — Discuss:</t>
  </si>
  <si>
    <t>Can the answer ever be a decimal? What does that tell you about the model?</t>
  </si>
  <si>
    <t>CAUTION: Goal Seek 'Set Cell' MUST be a formula cell (blue). 'By Changing Cell' MUST be a plain number cell (green). Never swap these.</t>
  </si>
  <si>
    <t>Module 2 — Data Tables  |  One-Variable &amp; Two-Variable</t>
  </si>
  <si>
    <t>One-Variable: EMI at different Interest Rates &amp; Loan Amounts  |  Two-Variable: Profit Grid (Price × Units)</t>
  </si>
  <si>
    <t>REFERENCE MODEL — Loan Calculator (same as Goal Seek sheet)</t>
  </si>
  <si>
    <t>This EMI cell (F5) is used in both Data Tables below as the linked formula.</t>
  </si>
  <si>
    <t>ONE-VARIABLE DATA TABLE 1: EMI at Different Interest Rates</t>
  </si>
  <si>
    <t>HOW TO BUILD: Select C10:D18 → Data → What-If Analysis → Data Table → Column input cell = B6 (Interest Rate) → OK</t>
  </si>
  <si>
    <t>Interest Rate</t>
  </si>
  <si>
    <t>After running Data Table: column D fills with EMI for each rate. Results show {=TABLE(,B6)} array formula — do NOT edit individual cells.</t>
  </si>
  <si>
    <t>ONE-VARIABLE DATA TABLE 2: EMI at Different Loan Amounts</t>
  </si>
  <si>
    <t>HOW TO BUILD: Select F21:G30 → Data → What-If Analysis → Data Table → Column input cell = B5 (Loan Amount) → OK</t>
  </si>
  <si>
    <t>REFERENCE MODEL — Profit Calculator</t>
  </si>
  <si>
    <t>TWO-VARIABLE DATA TABLE: Profit Grid (Selling Price × Units Sold)</t>
  </si>
  <si>
    <t>HOW TO BUILD: Select B41:G47 → Data → What-If Analysis → Data Table → Row input = B37 (Price), Column input = B36 (Units) → OK</t>
  </si>
  <si>
    <t>After running: Green cells fill with Profit at every Price × Units combination. Negative = loss. Find which combinations are profitable.</t>
  </si>
  <si>
    <t>EXERCISE TASKS</t>
  </si>
  <si>
    <t>DT Task 1:</t>
  </si>
  <si>
    <t>Build One-Variable Table 1 (C11:D18). What EMI at 8%? At 14%? Which rate gives EMI below ₹10,000?</t>
  </si>
  <si>
    <t>DT Task 2:</t>
  </si>
  <si>
    <t>Build One-Variable Table 2 (F23:G32). At what Loan Amount does EMI exceed ₹20,000?</t>
  </si>
  <si>
    <t>DT Task 3:</t>
  </si>
  <si>
    <t>Build Two-Variable Table (B41:G47). Which Price × Units combo gives highest profit?</t>
  </si>
  <si>
    <t>DT Task 4:</t>
  </si>
  <si>
    <t>In the Profit Grid, identify: which cells show a LOSS? At what price does every unit level become profitable?</t>
  </si>
  <si>
    <t>BONUS:</t>
  </si>
  <si>
    <t>Add a 3rd output column to Table 1: link to Profit Margin using the profit model. What happens?</t>
  </si>
  <si>
    <t>CAUTION: Data Table results are ARRAY formulas {=TABLE(...)}. You CANNOT edit individual result cells. To remove: select all green cells → Delete.</t>
  </si>
  <si>
    <t>Module 3 — Scenario Manager  |  Business P&amp;L Planning</t>
  </si>
  <si>
    <t>Data tab → What-If Analysis → Scenario Manager | Create: Pessimistic, Realistic, Optimistic</t>
  </si>
  <si>
    <t>BUSINESS P&amp;L MODEL  (Changing Cells: B5, B6, B7  |  Result Cells: B8, B9)</t>
  </si>
  <si>
    <t>INPUT ASSUMPTIONS (Change these per scenario)</t>
  </si>
  <si>
    <t>Projected Revenue (₹)</t>
  </si>
  <si>
    <t>Operating Costs (₹)</t>
  </si>
  <si>
    <t>Tax Rate (%)</t>
  </si>
  <si>
    <t>OUTPUT RESULTS (Formula cells — do not edit)</t>
  </si>
  <si>
    <t>Gross Profit (₹)</t>
  </si>
  <si>
    <t>Profit Margin (%)</t>
  </si>
  <si>
    <t>Cost Ratio (%)</t>
  </si>
  <si>
    <t>SCENARIO VALUES — Use these when adding scenarios in Scenario Manager</t>
  </si>
  <si>
    <t>Changing Cell</t>
  </si>
  <si>
    <t>Pessimistic</t>
  </si>
  <si>
    <t>Realistic</t>
  </si>
  <si>
    <t>Optimistic</t>
  </si>
  <si>
    <t>High Growth</t>
  </si>
  <si>
    <t>B6</t>
  </si>
  <si>
    <t>B7</t>
  </si>
  <si>
    <t>B8</t>
  </si>
  <si>
    <t>EXPECTED RESULTS — Check your Scenario Summary Report against these</t>
  </si>
  <si>
    <t>Output Cell</t>
  </si>
  <si>
    <t>Metric</t>
  </si>
  <si>
    <t>B12</t>
  </si>
  <si>
    <t>B13</t>
  </si>
  <si>
    <t>2.92%</t>
  </si>
  <si>
    <t>24.00%</t>
  </si>
  <si>
    <t>37.50%</t>
  </si>
  <si>
    <t>46.80%</t>
  </si>
  <si>
    <t>B14</t>
  </si>
  <si>
    <t>93.75%</t>
  </si>
  <si>
    <t>66.67%</t>
  </si>
  <si>
    <t>50.00%</t>
  </si>
  <si>
    <t>40.00%</t>
  </si>
  <si>
    <t>STEP-BY-STEP: How to Build Scenarios</t>
  </si>
  <si>
    <t>Step 1</t>
  </si>
  <si>
    <t>Name input cells (optional but helpful): Click B6 → Name Box → type 'Revenue' → Enter. Repeat for B7='Costs', B8='TaxRate'.</t>
  </si>
  <si>
    <t>Step 2</t>
  </si>
  <si>
    <t>Go to Data tab → What-If Analysis → Scenario Manager. Dialog opens (empty at first).</t>
  </si>
  <si>
    <t>Step 3</t>
  </si>
  <si>
    <t>Click 'Add'. Scenario Name = 'Pessimistic'. Changing Cells = B6, B7, B8 (Ctrl+click each). Click OK.</t>
  </si>
  <si>
    <t>Step 4</t>
  </si>
  <si>
    <t>Enter Pessimistic values: B6=800000, B7=750000, B8=0.30. Click 'Add' (not OK) to continue to next scenario.</t>
  </si>
  <si>
    <t>Step 5</t>
  </si>
  <si>
    <t>Scenario Name = 'Realistic'. Click OK. Enter: B6=1200000, B7=800000, B8=0.28. Click Add.</t>
  </si>
  <si>
    <t>Step 6</t>
  </si>
  <si>
    <t>Scenario Name = 'Optimistic'. Click OK. Enter: B6=1800000, B7=900000, B8=0.25. Click OK.</t>
  </si>
  <si>
    <t>Step 7</t>
  </si>
  <si>
    <t>To show a scenario: select it in the list → click 'Show'. Watch B6, B7, B8, and all output cells update.</t>
  </si>
  <si>
    <t>Step 8</t>
  </si>
  <si>
    <t>To generate the Summary Report: click 'Summary'. Result Cells: click B12 (hold Ctrl, also click B13). Click OK.</t>
  </si>
  <si>
    <t>Step 9</t>
  </si>
  <si>
    <t>A 'Scenario Summary' sheet is created. Review: all scenarios shown side by side with Net Profit and Margin.</t>
  </si>
  <si>
    <t>SCENARIO MANAGER EXERCISES</t>
  </si>
  <si>
    <t>SM Task 1:</t>
  </si>
  <si>
    <t>Create all 3 scenarios (Pessimistic, Realistic, Optimistic) using values from the reference table above.</t>
  </si>
  <si>
    <t>SM Task 2:</t>
  </si>
  <si>
    <t>Click 'Show' for each scenario. Record Net Profit (B12) and Margin (B13) for each. Do they match the expected results table?</t>
  </si>
  <si>
    <t>SM Task 3:</t>
  </si>
  <si>
    <t>Generate the Scenario Summary Report. Result Cells = B12 and B13. Review the new 'Scenario Summary' sheet.</t>
  </si>
  <si>
    <t>SM Task 4:</t>
  </si>
  <si>
    <t>Edit the Pessimistic scenario: Change Revenue from 8,00,000 to 7,00,000. Show it. What is the new Net Profit?</t>
  </si>
  <si>
    <t>SM BONUS:</t>
  </si>
  <si>
    <t>Add a 4th scenario 'High Growth' using values from the reference table. Regenerate the Summary Report.</t>
  </si>
  <si>
    <t>SM Discuss:</t>
  </si>
  <si>
    <t>Which scenario would you present to a conservative board? Which to an investor seeking growth potential? Why?</t>
  </si>
  <si>
    <t>BEST PRACTICE: Create a 'Base' scenario FIRST (current values) before testing Pessimistic/Realistic/Optimistic. This lets you restore original values anytime.</t>
  </si>
  <si>
    <t>CAUTION: Scenario Summary Reports do NOT auto-update. If you add or edit scenarios, regenerate the report: Scenario Manager → Summary → OK.</t>
  </si>
  <si>
    <t>MY SCENARIO NOTES — Fill this in as you work through the exercises</t>
  </si>
  <si>
    <t>Scenario Name</t>
  </si>
  <si>
    <t>Revenue (₹)</t>
  </si>
  <si>
    <t>Costs (₹)</t>
  </si>
  <si>
    <t>Tax Rate</t>
  </si>
  <si>
    <t>Margin (%)</t>
  </si>
  <si>
    <t>High Growth (Bonus)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</si>
</sst>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9">
    <font>
      <sz val="11.0"/>
      <color theme="1"/>
      <name val="Calibri"/>
      <scheme val="minor"/>
    </font>
    <font>
      <b/>
      <sz val="14.0"/>
      <color rgb="FFFFFFFF"/>
      <name val="Arial"/>
    </font>
    <font/>
    <font>
      <b/>
      <sz val="10.0"/>
      <color rgb="FFFFFFFF"/>
      <name val="Arial"/>
    </font>
    <font>
      <b/>
      <sz val="10.0"/>
      <color rgb="FF1A5276"/>
      <name val="Arial"/>
    </font>
    <font>
      <sz val="11.0"/>
      <color theme="1"/>
      <name val="Calibri"/>
    </font>
    <font>
      <sz val="10.0"/>
      <color rgb="FF1A5276"/>
      <name val="Arial"/>
    </font>
    <font>
      <b/>
      <sz val="10.0"/>
      <color rgb="FF154360"/>
      <name val="Arial"/>
    </font>
    <font>
      <sz val="10.0"/>
      <color rgb="FF154360"/>
      <name val="Arial"/>
    </font>
    <font>
      <b/>
      <sz val="10.0"/>
      <color rgb="FF92400E"/>
      <name val="Arial"/>
    </font>
    <font>
      <sz val="10.0"/>
      <color rgb="FF92400E"/>
      <name val="Arial"/>
    </font>
    <font>
      <b/>
      <sz val="10.0"/>
      <color rgb="FF15803D"/>
      <name val="Arial"/>
    </font>
    <font>
      <sz val="10.0"/>
      <color rgb="FF15803D"/>
      <name val="Arial"/>
    </font>
    <font>
      <b/>
      <sz val="10.0"/>
      <color rgb="FF991B1B"/>
      <name val="Arial"/>
    </font>
    <font>
      <sz val="10.0"/>
      <color rgb="FF991B1B"/>
      <name val="Arial"/>
    </font>
    <font>
      <sz val="10.0"/>
      <color rgb="FF000000"/>
      <name val="Arial"/>
    </font>
    <font>
      <b/>
      <sz val="9.0"/>
      <color rgb="FF1A5276"/>
      <name val="Arial"/>
    </font>
    <font>
      <b/>
      <sz val="9.0"/>
      <color rgb="FF154360"/>
      <name val="Arial"/>
    </font>
    <font>
      <b/>
      <sz val="10.0"/>
      <color rgb="FF1E3A5F"/>
      <name val="Arial"/>
    </font>
    <font>
      <b/>
      <sz val="11.0"/>
      <color rgb="FF1A5276"/>
      <name val="Arial"/>
    </font>
    <font>
      <b/>
      <sz val="12.0"/>
      <color rgb="FF154360"/>
      <name val="Arial"/>
    </font>
    <font>
      <i/>
      <sz val="9.0"/>
      <color rgb="FF1E40AF"/>
      <name val="Arial"/>
    </font>
    <font>
      <b/>
      <sz val="9.0"/>
      <color rgb="FF92400E"/>
      <name val="Arial"/>
    </font>
    <font>
      <sz val="9.0"/>
      <color rgb="FF15803D"/>
      <name val="Arial"/>
    </font>
    <font>
      <b/>
      <sz val="11.0"/>
      <color rgb="FF154360"/>
      <name val="Arial"/>
    </font>
    <font>
      <i/>
      <sz val="9.0"/>
      <color rgb="FF991B1B"/>
      <name val="Arial"/>
    </font>
    <font>
      <i/>
      <sz val="9.0"/>
      <color rgb="FFB45309"/>
      <name val="Arial"/>
    </font>
    <font>
      <b/>
      <sz val="9.0"/>
      <color rgb="FFFFD700"/>
      <name val="Arial"/>
    </font>
    <font>
      <b/>
      <sz val="10.0"/>
      <color rgb="FF000000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1E3A5F"/>
        <bgColor rgb="FF1E3A5F"/>
      </patternFill>
    </fill>
    <fill>
      <patternFill patternType="solid">
        <fgColor rgb="FF1E40AF"/>
        <bgColor rgb="FF1E40AF"/>
      </patternFill>
    </fill>
    <fill>
      <patternFill patternType="solid">
        <fgColor rgb="FFE8F5E9"/>
        <bgColor rgb="FFE8F5E9"/>
      </patternFill>
    </fill>
    <fill>
      <patternFill patternType="solid">
        <fgColor rgb="FFE3F2FD"/>
        <bgColor rgb="FFE3F2FD"/>
      </patternFill>
    </fill>
    <fill>
      <patternFill patternType="solid">
        <fgColor rgb="FFFFF9C4"/>
        <bgColor rgb="FFFFF9C4"/>
      </patternFill>
    </fill>
    <fill>
      <patternFill patternType="solid">
        <fgColor rgb="FFDCFCE7"/>
        <bgColor rgb="FFDCFCE7"/>
      </patternFill>
    </fill>
    <fill>
      <patternFill patternType="solid">
        <fgColor rgb="FFFEE2E2"/>
        <bgColor rgb="FFFEE2E2"/>
      </patternFill>
    </fill>
    <fill>
      <patternFill patternType="solid">
        <fgColor rgb="FFFFFFFF"/>
        <bgColor rgb="FFFFFFFF"/>
      </patternFill>
    </fill>
    <fill>
      <patternFill patternType="solid">
        <fgColor rgb="FFEEF3F9"/>
        <bgColor rgb="FFEEF3F9"/>
      </patternFill>
    </fill>
    <fill>
      <patternFill patternType="solid">
        <fgColor rgb="FFEFF6FF"/>
        <bgColor rgb="FFEFF6FF"/>
      </patternFill>
    </fill>
    <fill>
      <patternFill patternType="solid">
        <fgColor rgb="FF6D28D9"/>
        <bgColor rgb="FF6D28D9"/>
      </patternFill>
    </fill>
    <fill>
      <patternFill patternType="solid">
        <fgColor rgb="FFC2410C"/>
        <bgColor rgb="FFC2410C"/>
      </patternFill>
    </fill>
    <fill>
      <patternFill patternType="solid">
        <fgColor rgb="FF0F766E"/>
        <bgColor rgb="FF0F766E"/>
      </patternFill>
    </fill>
    <fill>
      <patternFill patternType="solid">
        <fgColor rgb="FF15803D"/>
        <bgColor rgb="FF15803D"/>
      </patternFill>
    </fill>
  </fills>
  <borders count="6">
    <border/>
    <border>
      <left style="thin">
        <color rgb="FFAAAAAA"/>
      </left>
      <top style="thin">
        <color rgb="FFAAAAAA"/>
      </top>
      <bottom style="thin">
        <color rgb="FFAAAAAA"/>
      </bottom>
    </border>
    <border>
      <top style="thin">
        <color rgb="FFAAAAAA"/>
      </top>
      <bottom style="thin">
        <color rgb="FFAAAAAA"/>
      </bottom>
    </border>
    <border>
      <right/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medium">
        <color rgb="FF1E3A5F"/>
      </left>
      <right style="medium">
        <color rgb="FF1E3A5F"/>
      </right>
      <top style="medium">
        <color rgb="FF1E3A5F"/>
      </top>
      <bottom style="medium">
        <color rgb="FF1E3A5F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4" fillId="4" fontId="4" numFmtId="0" xfId="0" applyAlignment="1" applyBorder="1" applyFill="1" applyFont="1">
      <alignment horizontal="left" shrinkToFit="0" vertical="center" wrapText="1"/>
    </xf>
    <xf borderId="4" fillId="4" fontId="5" numFmtId="0" xfId="0" applyAlignment="1" applyBorder="1" applyFont="1">
      <alignment shrinkToFit="0" vertical="bottom" wrapText="0"/>
    </xf>
    <xf borderId="4" fillId="4" fontId="6" numFmtId="0" xfId="0" applyAlignment="1" applyBorder="1" applyFont="1">
      <alignment horizontal="left" shrinkToFit="0" vertical="center" wrapText="1"/>
    </xf>
    <xf borderId="4" fillId="5" fontId="7" numFmtId="0" xfId="0" applyAlignment="1" applyBorder="1" applyFill="1" applyFont="1">
      <alignment horizontal="left" shrinkToFit="0" vertical="center" wrapText="1"/>
    </xf>
    <xf borderId="4" fillId="5" fontId="5" numFmtId="0" xfId="0" applyAlignment="1" applyBorder="1" applyFont="1">
      <alignment shrinkToFit="0" vertical="bottom" wrapText="0"/>
    </xf>
    <xf borderId="4" fillId="5" fontId="8" numFmtId="0" xfId="0" applyAlignment="1" applyBorder="1" applyFont="1">
      <alignment horizontal="left" shrinkToFit="0" vertical="center" wrapText="1"/>
    </xf>
    <xf borderId="4" fillId="6" fontId="9" numFmtId="0" xfId="0" applyAlignment="1" applyBorder="1" applyFill="1" applyFont="1">
      <alignment horizontal="left" shrinkToFit="0" vertical="center" wrapText="1"/>
    </xf>
    <xf borderId="4" fillId="6" fontId="5" numFmtId="0" xfId="0" applyAlignment="1" applyBorder="1" applyFont="1">
      <alignment shrinkToFit="0" vertical="bottom" wrapText="0"/>
    </xf>
    <xf borderId="4" fillId="6" fontId="10" numFmtId="0" xfId="0" applyAlignment="1" applyBorder="1" applyFont="1">
      <alignment horizontal="left" shrinkToFit="0" vertical="center" wrapText="1"/>
    </xf>
    <xf borderId="4" fillId="7" fontId="11" numFmtId="0" xfId="0" applyAlignment="1" applyBorder="1" applyFill="1" applyFont="1">
      <alignment horizontal="left" shrinkToFit="0" vertical="center" wrapText="1"/>
    </xf>
    <xf borderId="4" fillId="7" fontId="5" numFmtId="0" xfId="0" applyAlignment="1" applyBorder="1" applyFont="1">
      <alignment shrinkToFit="0" vertical="bottom" wrapText="0"/>
    </xf>
    <xf borderId="4" fillId="7" fontId="12" numFmtId="0" xfId="0" applyAlignment="1" applyBorder="1" applyFont="1">
      <alignment horizontal="left" shrinkToFit="0" vertical="center" wrapText="1"/>
    </xf>
    <xf borderId="4" fillId="8" fontId="13" numFmtId="0" xfId="0" applyAlignment="1" applyBorder="1" applyFill="1" applyFont="1">
      <alignment horizontal="left" shrinkToFit="0" vertical="center" wrapText="1"/>
    </xf>
    <xf borderId="4" fillId="8" fontId="5" numFmtId="0" xfId="0" applyAlignment="1" applyBorder="1" applyFont="1">
      <alignment shrinkToFit="0" vertical="bottom" wrapText="0"/>
    </xf>
    <xf borderId="4" fillId="8" fontId="14" numFmtId="0" xfId="0" applyAlignment="1" applyBorder="1" applyFont="1">
      <alignment horizontal="left" shrinkToFit="0" vertical="center" wrapText="1"/>
    </xf>
    <xf borderId="4" fillId="3" fontId="3" numFmtId="0" xfId="0" applyAlignment="1" applyBorder="1" applyFont="1">
      <alignment horizontal="center" shrinkToFit="0" vertical="center" wrapText="1"/>
    </xf>
    <xf borderId="4" fillId="9" fontId="15" numFmtId="0" xfId="0" applyAlignment="1" applyBorder="1" applyFill="1" applyFont="1">
      <alignment horizontal="left" shrinkToFit="0" vertical="center" wrapText="1"/>
    </xf>
    <xf borderId="4" fillId="10" fontId="15" numFmtId="0" xfId="0" applyAlignment="1" applyBorder="1" applyFill="1" applyFont="1">
      <alignment horizontal="left" shrinkToFit="0" vertical="center" wrapText="1"/>
    </xf>
    <xf borderId="1" fillId="3" fontId="3" numFmtId="0" xfId="0" applyAlignment="1" applyBorder="1" applyFont="1">
      <alignment horizontal="left" shrinkToFit="0" vertical="center" wrapText="1"/>
    </xf>
    <xf borderId="1" fillId="4" fontId="16" numFmtId="0" xfId="0" applyAlignment="1" applyBorder="1" applyFont="1">
      <alignment horizontal="left" shrinkToFit="0" vertical="center" wrapText="1"/>
    </xf>
    <xf borderId="1" fillId="5" fontId="17" numFmtId="0" xfId="0" applyAlignment="1" applyBorder="1" applyFont="1">
      <alignment horizontal="left" shrinkToFit="0" vertical="center" wrapText="1"/>
    </xf>
    <xf borderId="4" fillId="11" fontId="18" numFmtId="0" xfId="0" applyAlignment="1" applyBorder="1" applyFill="1" applyFont="1">
      <alignment horizontal="left" shrinkToFit="0" vertical="center" wrapText="1"/>
    </xf>
    <xf borderId="5" fillId="4" fontId="19" numFmtId="3" xfId="0" applyAlignment="1" applyBorder="1" applyFont="1" applyNumberFormat="1">
      <alignment horizontal="center" shrinkToFit="0" vertical="center" wrapText="1"/>
    </xf>
    <xf borderId="5" fillId="5" fontId="20" numFmtId="4" xfId="0" applyAlignment="1" applyBorder="1" applyFont="1" applyNumberFormat="1">
      <alignment horizontal="center" shrinkToFit="0" vertical="center" wrapText="1"/>
    </xf>
    <xf borderId="5" fillId="4" fontId="19" numFmtId="10" xfId="0" applyAlignment="1" applyBorder="1" applyFont="1" applyNumberFormat="1">
      <alignment horizontal="center" shrinkToFit="0" vertical="center" wrapText="1"/>
    </xf>
    <xf borderId="1" fillId="11" fontId="21" numFmtId="0" xfId="0" applyAlignment="1" applyBorder="1" applyFont="1">
      <alignment horizontal="left" shrinkToFit="0" vertical="center" wrapText="1"/>
    </xf>
    <xf borderId="5" fillId="4" fontId="19" numFmtId="1" xfId="0" applyAlignment="1" applyBorder="1" applyFont="1" applyNumberFormat="1">
      <alignment horizontal="center" shrinkToFit="0" vertical="center" wrapText="1"/>
    </xf>
    <xf borderId="1" fillId="12" fontId="3" numFmtId="0" xfId="0" applyAlignment="1" applyBorder="1" applyFill="1" applyFont="1">
      <alignment horizontal="left" shrinkToFit="0" vertical="center" wrapText="1"/>
    </xf>
    <xf borderId="4" fillId="6" fontId="22" numFmtId="0" xfId="0" applyAlignment="1" applyBorder="1" applyFont="1">
      <alignment horizontal="left" shrinkToFit="0" vertical="center" wrapText="1"/>
    </xf>
    <xf borderId="1" fillId="7" fontId="23" numFmtId="0" xfId="0" applyAlignment="1" applyBorder="1" applyFont="1">
      <alignment horizontal="left" shrinkToFit="0" vertical="center" wrapText="1"/>
    </xf>
    <xf borderId="1" fillId="13" fontId="3" numFmtId="0" xfId="0" applyAlignment="1" applyBorder="1" applyFill="1" applyFont="1">
      <alignment horizontal="left" shrinkToFit="0" vertical="center" wrapText="1"/>
    </xf>
    <xf borderId="5" fillId="5" fontId="24" numFmtId="3" xfId="0" applyAlignment="1" applyBorder="1" applyFont="1" applyNumberFormat="1">
      <alignment horizontal="center" shrinkToFit="0" vertical="center" wrapText="1"/>
    </xf>
    <xf borderId="5" fillId="5" fontId="24" numFmtId="10" xfId="0" applyAlignment="1" applyBorder="1" applyFont="1" applyNumberFormat="1">
      <alignment horizontal="center" shrinkToFit="0" vertical="center" wrapText="1"/>
    </xf>
    <xf borderId="1" fillId="14" fontId="3" numFmtId="0" xfId="0" applyAlignment="1" applyBorder="1" applyFill="1" applyFont="1">
      <alignment horizontal="left" shrinkToFit="0" vertical="center" wrapText="1"/>
    </xf>
    <xf borderId="5" fillId="5" fontId="20" numFmtId="10" xfId="0" applyAlignment="1" applyBorder="1" applyFont="1" applyNumberFormat="1">
      <alignment horizontal="center" shrinkToFit="0" vertical="center" wrapText="1"/>
    </xf>
    <xf borderId="1" fillId="8" fontId="25" numFmtId="0" xfId="0" applyAlignment="1" applyBorder="1" applyFont="1">
      <alignment horizontal="left" shrinkToFit="0" vertical="center" wrapText="1"/>
    </xf>
    <xf borderId="1" fillId="6" fontId="26" numFmtId="0" xfId="0" applyAlignment="1" applyBorder="1" applyFont="1">
      <alignment horizontal="left" shrinkToFit="0" vertical="center" wrapText="1"/>
    </xf>
    <xf borderId="5" fillId="5" fontId="7" numFmtId="4" xfId="0" applyAlignment="1" applyBorder="1" applyFont="1" applyNumberFormat="1">
      <alignment horizontal="center" shrinkToFit="0" vertical="center" wrapText="1"/>
    </xf>
    <xf borderId="4" fillId="4" fontId="4" numFmtId="10" xfId="0" applyAlignment="1" applyBorder="1" applyFont="1" applyNumberFormat="1">
      <alignment horizontal="center" shrinkToFit="0" vertical="center" wrapText="1"/>
    </xf>
    <xf borderId="4" fillId="7" fontId="12" numFmtId="4" xfId="0" applyAlignment="1" applyBorder="1" applyFont="1" applyNumberFormat="1">
      <alignment horizontal="center" shrinkToFit="0" vertical="center" wrapText="1"/>
    </xf>
    <xf borderId="4" fillId="4" fontId="4" numFmtId="3" xfId="0" applyAlignment="1" applyBorder="1" applyFont="1" applyNumberFormat="1">
      <alignment horizontal="center" shrinkToFit="0" vertical="center" wrapText="1"/>
    </xf>
    <xf borderId="5" fillId="5" fontId="20" numFmtId="3" xfId="0" applyAlignment="1" applyBorder="1" applyFont="1" applyNumberFormat="1">
      <alignment horizontal="center" shrinkToFit="0" vertical="center" wrapText="1"/>
    </xf>
    <xf borderId="5" fillId="2" fontId="27" numFmtId="3" xfId="0" applyAlignment="1" applyBorder="1" applyFont="1" applyNumberFormat="1">
      <alignment horizontal="center" shrinkToFit="0" vertical="center" wrapText="1"/>
    </xf>
    <xf borderId="4" fillId="13" fontId="3" numFmtId="3" xfId="0" applyAlignment="1" applyBorder="1" applyFont="1" applyNumberFormat="1">
      <alignment horizontal="center" shrinkToFit="0" vertical="center" wrapText="1"/>
    </xf>
    <xf borderId="4" fillId="12" fontId="3" numFmtId="3" xfId="0" applyAlignment="1" applyBorder="1" applyFont="1" applyNumberFormat="1">
      <alignment horizontal="center" shrinkToFit="0" vertical="center" wrapText="1"/>
    </xf>
    <xf borderId="4" fillId="7" fontId="12" numFmtId="3" xfId="0" applyAlignment="1" applyBorder="1" applyFont="1" applyNumberFormat="1">
      <alignment horizontal="center" shrinkToFit="0" vertical="center" wrapText="1"/>
    </xf>
    <xf borderId="1" fillId="15" fontId="3" numFmtId="0" xfId="0" applyAlignment="1" applyBorder="1" applyFill="1" applyFont="1">
      <alignment horizontal="left" shrinkToFit="0" vertical="center" wrapText="1"/>
    </xf>
    <xf borderId="4" fillId="2" fontId="3" numFmtId="0" xfId="0" applyAlignment="1" applyBorder="1" applyFont="1">
      <alignment horizontal="center" shrinkToFit="0" vertical="center" wrapText="1"/>
    </xf>
    <xf borderId="4" fillId="4" fontId="4" numFmtId="0" xfId="0" applyAlignment="1" applyBorder="1" applyFont="1">
      <alignment horizontal="center" shrinkToFit="0" vertical="center" wrapText="1"/>
    </xf>
    <xf borderId="4" fillId="8" fontId="13" numFmtId="3" xfId="0" applyAlignment="1" applyBorder="1" applyFont="1" applyNumberFormat="1">
      <alignment horizontal="center" shrinkToFit="0" vertical="center" wrapText="1"/>
    </xf>
    <xf borderId="4" fillId="10" fontId="28" numFmtId="3" xfId="0" applyAlignment="1" applyBorder="1" applyFont="1" applyNumberFormat="1">
      <alignment horizontal="center" shrinkToFit="0" vertical="center" wrapText="1"/>
    </xf>
    <xf borderId="4" fillId="7" fontId="11" numFmtId="3" xfId="0" applyAlignment="1" applyBorder="1" applyFont="1" applyNumberFormat="1">
      <alignment horizontal="center" shrinkToFit="0" vertical="center" wrapText="1"/>
    </xf>
    <xf borderId="4" fillId="8" fontId="13" numFmtId="10" xfId="0" applyAlignment="1" applyBorder="1" applyFont="1" applyNumberFormat="1">
      <alignment horizontal="center" shrinkToFit="0" vertical="center" wrapText="1"/>
    </xf>
    <xf borderId="4" fillId="10" fontId="28" numFmtId="10" xfId="0" applyAlignment="1" applyBorder="1" applyFont="1" applyNumberFormat="1">
      <alignment horizontal="center" shrinkToFit="0" vertical="center" wrapText="1"/>
    </xf>
    <xf borderId="4" fillId="7" fontId="11" numFmtId="10" xfId="0" applyAlignment="1" applyBorder="1" applyFont="1" applyNumberFormat="1">
      <alignment horizontal="center" shrinkToFit="0" vertical="center" wrapText="1"/>
    </xf>
    <xf borderId="4" fillId="14" fontId="3" numFmtId="0" xfId="0" applyAlignment="1" applyBorder="1" applyFont="1">
      <alignment horizontal="center" shrinkToFit="0" vertical="center" wrapText="1"/>
    </xf>
    <xf borderId="4" fillId="4" fontId="28" numFmtId="0" xfId="0" applyAlignment="1" applyBorder="1" applyFont="1">
      <alignment horizontal="center" shrinkToFit="0" vertical="center" wrapText="1"/>
    </xf>
    <xf borderId="4" fillId="11" fontId="28" numFmtId="0" xfId="0" applyAlignment="1" applyBorder="1" applyFont="1">
      <alignment horizontal="center" shrinkToFit="0" vertical="center" wrapText="1"/>
    </xf>
    <xf borderId="4" fillId="8" fontId="15" numFmtId="0" xfId="0" applyAlignment="1" applyBorder="1" applyFont="1">
      <alignment horizontal="center" shrinkToFit="0" vertical="center" wrapText="1"/>
    </xf>
    <xf borderId="4" fillId="10" fontId="15" numFmtId="0" xfId="0" applyAlignment="1" applyBorder="1" applyFont="1">
      <alignment horizontal="center" shrinkToFit="0" vertical="center" wrapText="1"/>
    </xf>
    <xf borderId="4" fillId="7" fontId="15" numFmtId="0" xfId="0" applyAlignment="1" applyBorder="1" applyFont="1">
      <alignment horizontal="center" shrinkToFit="0" vertical="center" wrapText="1"/>
    </xf>
    <xf borderId="4" fillId="4" fontId="15" numFmtId="0" xfId="0" applyAlignment="1" applyBorder="1" applyFont="1">
      <alignment horizontal="center" shrinkToFit="0" vertical="center" wrapText="1"/>
    </xf>
    <xf borderId="1" fillId="10" fontId="15" numFmtId="0" xfId="0" applyAlignment="1" applyBorder="1" applyFont="1">
      <alignment horizontal="left" shrinkToFit="0" vertical="center" wrapText="1"/>
    </xf>
    <xf borderId="1" fillId="9" fontId="15" numFmtId="0" xfId="0" applyAlignment="1" applyBorder="1" applyFont="1">
      <alignment horizontal="left" shrinkToFit="0" vertical="center" wrapText="1"/>
    </xf>
    <xf borderId="1" fillId="2" fontId="3" numFmtId="0" xfId="0" applyAlignment="1" applyBorder="1" applyFont="1">
      <alignment horizontal="left" shrinkToFit="0" vertical="center" wrapText="1"/>
    </xf>
    <xf borderId="4" fillId="7" fontId="15" numFmtId="3" xfId="0" applyAlignment="1" applyBorder="1" applyFont="1" applyNumberFormat="1">
      <alignment horizontal="center" shrinkToFit="0" vertical="center" wrapText="1"/>
    </xf>
    <xf borderId="4" fillId="7" fontId="15" numFmtId="10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2" width="22.0"/>
    <col customWidth="1" min="3" max="3" width="50.0"/>
    <col customWidth="1" min="4" max="26" width="8.71"/>
  </cols>
  <sheetData>
    <row r="1" ht="36.0" customHeight="1">
      <c r="A1" s="1" t="s">
        <v>0</v>
      </c>
      <c r="B1" s="2"/>
      <c r="C1" s="3"/>
    </row>
    <row r="2" ht="21.75" customHeight="1">
      <c r="A2" s="4" t="s">
        <v>1</v>
      </c>
      <c r="B2" s="2"/>
      <c r="C2" s="3"/>
    </row>
    <row r="4" ht="19.5" customHeight="1">
      <c r="A4" s="5" t="s">
        <v>2</v>
      </c>
      <c r="B4" s="2"/>
      <c r="C4" s="3"/>
    </row>
    <row r="5" ht="19.5" customHeight="1">
      <c r="A5" s="6" t="s">
        <v>3</v>
      </c>
      <c r="B5" s="7"/>
      <c r="C5" s="8" t="s">
        <v>4</v>
      </c>
    </row>
    <row r="6" ht="19.5" customHeight="1">
      <c r="A6" s="9" t="s">
        <v>5</v>
      </c>
      <c r="B6" s="10"/>
      <c r="C6" s="11" t="s">
        <v>6</v>
      </c>
    </row>
    <row r="7" ht="19.5" customHeight="1">
      <c r="A7" s="12" t="s">
        <v>7</v>
      </c>
      <c r="B7" s="13"/>
      <c r="C7" s="14" t="s">
        <v>8</v>
      </c>
    </row>
    <row r="8" ht="19.5" customHeight="1">
      <c r="A8" s="15" t="s">
        <v>9</v>
      </c>
      <c r="B8" s="16"/>
      <c r="C8" s="17" t="s">
        <v>10</v>
      </c>
    </row>
    <row r="9" ht="19.5" customHeight="1">
      <c r="A9" s="18" t="s">
        <v>11</v>
      </c>
      <c r="B9" s="19"/>
      <c r="C9" s="20" t="s">
        <v>12</v>
      </c>
    </row>
    <row r="11" ht="19.5" customHeight="1">
      <c r="A11" s="5" t="s">
        <v>13</v>
      </c>
      <c r="B11" s="2"/>
      <c r="C11" s="3"/>
    </row>
    <row r="12" ht="21.75" customHeight="1">
      <c r="A12" s="21" t="s">
        <v>14</v>
      </c>
      <c r="B12" s="21" t="s">
        <v>15</v>
      </c>
      <c r="C12" s="21" t="s">
        <v>16</v>
      </c>
    </row>
    <row r="13" ht="21.75" customHeight="1">
      <c r="A13" s="22" t="s">
        <v>17</v>
      </c>
      <c r="B13" s="22" t="s">
        <v>18</v>
      </c>
      <c r="C13" s="22" t="s">
        <v>19</v>
      </c>
    </row>
    <row r="14" ht="21.75" customHeight="1">
      <c r="A14" s="23" t="s">
        <v>20</v>
      </c>
      <c r="B14" s="23" t="s">
        <v>21</v>
      </c>
      <c r="C14" s="23" t="s">
        <v>22</v>
      </c>
    </row>
    <row r="15" ht="21.75" customHeight="1">
      <c r="A15" s="22" t="s">
        <v>23</v>
      </c>
      <c r="B15" s="22" t="s">
        <v>24</v>
      </c>
      <c r="C15" s="22" t="s">
        <v>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C1"/>
    <mergeCell ref="A2:C2"/>
    <mergeCell ref="A4:C4"/>
    <mergeCell ref="A11:C11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0"/>
    <col customWidth="1" min="2" max="2" width="18.0"/>
    <col customWidth="1" min="3" max="3" width="28.0"/>
    <col customWidth="1" min="4" max="4" width="4.0"/>
    <col customWidth="1" min="5" max="5" width="26.0"/>
    <col customWidth="1" min="6" max="6" width="18.0"/>
    <col customWidth="1" min="7" max="7" width="28.0"/>
    <col customWidth="1" min="8" max="26" width="8.71"/>
  </cols>
  <sheetData>
    <row r="1" ht="36.0" customHeight="1">
      <c r="A1" s="1" t="s">
        <v>26</v>
      </c>
      <c r="B1" s="2"/>
      <c r="C1" s="2"/>
      <c r="D1" s="2"/>
      <c r="E1" s="2"/>
      <c r="F1" s="2"/>
      <c r="G1" s="3"/>
    </row>
    <row r="2" ht="21.75" customHeight="1">
      <c r="A2" s="4" t="s">
        <v>27</v>
      </c>
      <c r="B2" s="2"/>
      <c r="C2" s="2"/>
      <c r="D2" s="2"/>
      <c r="E2" s="2"/>
      <c r="F2" s="2"/>
      <c r="G2" s="3"/>
    </row>
    <row r="4" ht="24.0" customHeight="1">
      <c r="A4" s="24" t="s">
        <v>28</v>
      </c>
      <c r="B4" s="2"/>
      <c r="C4" s="2"/>
      <c r="D4" s="2"/>
      <c r="E4" s="2"/>
      <c r="F4" s="2"/>
      <c r="G4" s="3"/>
    </row>
    <row r="5" ht="19.5" customHeight="1">
      <c r="A5" s="25" t="s">
        <v>29</v>
      </c>
      <c r="B5" s="2"/>
      <c r="C5" s="3"/>
      <c r="E5" s="26" t="s">
        <v>30</v>
      </c>
      <c r="F5" s="2"/>
      <c r="G5" s="3"/>
    </row>
    <row r="6" ht="21.75" customHeight="1">
      <c r="A6" s="27" t="s">
        <v>31</v>
      </c>
      <c r="B6" s="28">
        <v>500000.0</v>
      </c>
      <c r="E6" s="27" t="s">
        <v>32</v>
      </c>
      <c r="F6" s="29">
        <f>PMT(B7/12,B8,-B6)</f>
        <v>10623.52236</v>
      </c>
    </row>
    <row r="7" ht="21.75" customHeight="1">
      <c r="A7" s="27" t="s">
        <v>33</v>
      </c>
      <c r="B7" s="30">
        <v>0.1</v>
      </c>
      <c r="E7" s="31" t="s">
        <v>34</v>
      </c>
      <c r="F7" s="2"/>
      <c r="G7" s="3"/>
    </row>
    <row r="8" ht="21.75" customHeight="1">
      <c r="A8" s="27" t="s">
        <v>35</v>
      </c>
      <c r="B8" s="32">
        <v>60.0</v>
      </c>
      <c r="E8" s="31" t="s">
        <v>36</v>
      </c>
      <c r="F8" s="2"/>
      <c r="G8" s="3"/>
    </row>
    <row r="10" ht="24.0" customHeight="1">
      <c r="A10" s="33" t="s">
        <v>37</v>
      </c>
      <c r="B10" s="2"/>
      <c r="C10" s="2"/>
      <c r="D10" s="2"/>
      <c r="E10" s="2"/>
      <c r="F10" s="2"/>
      <c r="G10" s="3"/>
    </row>
    <row r="11" ht="27.75" customHeight="1">
      <c r="A11" s="34" t="s">
        <v>38</v>
      </c>
      <c r="B11" s="35" t="s">
        <v>39</v>
      </c>
      <c r="C11" s="2"/>
      <c r="D11" s="2"/>
      <c r="E11" s="2"/>
      <c r="F11" s="2"/>
      <c r="G11" s="3"/>
    </row>
    <row r="12" ht="27.75" customHeight="1">
      <c r="A12" s="34" t="s">
        <v>40</v>
      </c>
      <c r="B12" s="35" t="s">
        <v>41</v>
      </c>
      <c r="C12" s="2"/>
      <c r="D12" s="2"/>
      <c r="E12" s="2"/>
      <c r="F12" s="2"/>
      <c r="G12" s="3"/>
    </row>
    <row r="13" ht="27.75" customHeight="1">
      <c r="A13" s="34" t="s">
        <v>42</v>
      </c>
      <c r="B13" s="35" t="s">
        <v>43</v>
      </c>
      <c r="C13" s="2"/>
      <c r="D13" s="2"/>
      <c r="E13" s="2"/>
      <c r="F13" s="2"/>
      <c r="G13" s="3"/>
    </row>
    <row r="14" ht="27.75" customHeight="1">
      <c r="A14" s="34" t="s">
        <v>44</v>
      </c>
      <c r="B14" s="35" t="s">
        <v>45</v>
      </c>
      <c r="C14" s="2"/>
      <c r="D14" s="2"/>
      <c r="E14" s="2"/>
      <c r="F14" s="2"/>
      <c r="G14" s="3"/>
    </row>
    <row r="16" ht="24.0" customHeight="1">
      <c r="A16" s="36" t="s">
        <v>46</v>
      </c>
      <c r="B16" s="2"/>
      <c r="C16" s="2"/>
      <c r="D16" s="2"/>
      <c r="E16" s="2"/>
      <c r="F16" s="2"/>
      <c r="G16" s="3"/>
    </row>
    <row r="17" ht="19.5" customHeight="1">
      <c r="A17" s="25" t="s">
        <v>47</v>
      </c>
      <c r="B17" s="2"/>
      <c r="C17" s="3"/>
      <c r="E17" s="26" t="s">
        <v>48</v>
      </c>
      <c r="F17" s="2"/>
      <c r="G17" s="3"/>
    </row>
    <row r="18" ht="21.75" customHeight="1">
      <c r="A18" s="27" t="s">
        <v>49</v>
      </c>
      <c r="B18" s="28">
        <v>250.0</v>
      </c>
      <c r="E18" s="27" t="s">
        <v>50</v>
      </c>
      <c r="F18" s="37">
        <f>B20*B19</f>
        <v>150000</v>
      </c>
    </row>
    <row r="19" ht="21.75" customHeight="1">
      <c r="A19" s="27" t="s">
        <v>51</v>
      </c>
      <c r="B19" s="28">
        <v>500.0</v>
      </c>
      <c r="E19" s="27" t="s">
        <v>52</v>
      </c>
      <c r="F19" s="37">
        <f>B18*B19</f>
        <v>125000</v>
      </c>
    </row>
    <row r="20" ht="21.75" customHeight="1">
      <c r="A20" s="27" t="s">
        <v>53</v>
      </c>
      <c r="B20" s="28">
        <v>300.0</v>
      </c>
      <c r="E20" s="27" t="s">
        <v>54</v>
      </c>
      <c r="F20" s="37">
        <f>(B20-B18)*B19</f>
        <v>25000</v>
      </c>
    </row>
    <row r="21" ht="21.75" customHeight="1">
      <c r="E21" s="27" t="s">
        <v>55</v>
      </c>
      <c r="F21" s="38">
        <f>IF(F18=0,0,F20/F18)</f>
        <v>0.1666666667</v>
      </c>
    </row>
    <row r="22" ht="15.75" customHeight="1"/>
    <row r="23" ht="24.0" customHeight="1">
      <c r="A23" s="33" t="s">
        <v>56</v>
      </c>
      <c r="B23" s="2"/>
      <c r="C23" s="2"/>
      <c r="D23" s="2"/>
      <c r="E23" s="2"/>
      <c r="F23" s="2"/>
      <c r="G23" s="3"/>
    </row>
    <row r="24" ht="27.75" customHeight="1">
      <c r="A24" s="34" t="s">
        <v>57</v>
      </c>
      <c r="B24" s="35" t="s">
        <v>58</v>
      </c>
      <c r="C24" s="2"/>
      <c r="D24" s="2"/>
      <c r="E24" s="2"/>
      <c r="F24" s="2"/>
      <c r="G24" s="3"/>
    </row>
    <row r="25" ht="27.75" customHeight="1">
      <c r="A25" s="34" t="s">
        <v>59</v>
      </c>
      <c r="B25" s="35" t="s">
        <v>60</v>
      </c>
      <c r="C25" s="2"/>
      <c r="D25" s="2"/>
      <c r="E25" s="2"/>
      <c r="F25" s="2"/>
      <c r="G25" s="3"/>
    </row>
    <row r="26" ht="27.75" customHeight="1">
      <c r="A26" s="34" t="s">
        <v>61</v>
      </c>
      <c r="B26" s="35" t="s">
        <v>62</v>
      </c>
      <c r="C26" s="2"/>
      <c r="D26" s="2"/>
      <c r="E26" s="2"/>
      <c r="F26" s="2"/>
      <c r="G26" s="3"/>
    </row>
    <row r="27" ht="27.75" customHeight="1">
      <c r="A27" s="34" t="s">
        <v>63</v>
      </c>
      <c r="B27" s="35" t="s">
        <v>64</v>
      </c>
      <c r="C27" s="2"/>
      <c r="D27" s="2"/>
      <c r="E27" s="2"/>
      <c r="F27" s="2"/>
      <c r="G27" s="3"/>
    </row>
    <row r="28" ht="15.75" customHeight="1"/>
    <row r="29" ht="24.0" customHeight="1">
      <c r="A29" s="39" t="s">
        <v>65</v>
      </c>
      <c r="B29" s="2"/>
      <c r="C29" s="2"/>
      <c r="D29" s="2"/>
      <c r="E29" s="2"/>
      <c r="F29" s="2"/>
      <c r="G29" s="3"/>
    </row>
    <row r="30" ht="21.75" customHeight="1">
      <c r="A30" s="27" t="s">
        <v>66</v>
      </c>
      <c r="B30" s="32">
        <v>18.0</v>
      </c>
      <c r="E30" s="27" t="s">
        <v>67</v>
      </c>
      <c r="F30" s="40">
        <f>B30/B31</f>
        <v>0.6923076923</v>
      </c>
    </row>
    <row r="31" ht="21.75" customHeight="1">
      <c r="A31" s="27" t="s">
        <v>68</v>
      </c>
      <c r="B31" s="32">
        <v>26.0</v>
      </c>
    </row>
    <row r="32" ht="24.0" customHeight="1">
      <c r="A32" s="33" t="s">
        <v>69</v>
      </c>
      <c r="B32" s="2"/>
      <c r="C32" s="2"/>
      <c r="D32" s="2"/>
      <c r="E32" s="2"/>
      <c r="F32" s="2"/>
      <c r="G32" s="3"/>
    </row>
    <row r="33" ht="27.75" customHeight="1">
      <c r="A33" s="34" t="s">
        <v>70</v>
      </c>
      <c r="B33" s="35" t="s">
        <v>71</v>
      </c>
      <c r="C33" s="2"/>
      <c r="D33" s="2"/>
      <c r="E33" s="2"/>
      <c r="F33" s="2"/>
      <c r="G33" s="3"/>
    </row>
    <row r="34" ht="27.75" customHeight="1">
      <c r="A34" s="34" t="s">
        <v>72</v>
      </c>
      <c r="B34" s="35" t="s">
        <v>73</v>
      </c>
      <c r="C34" s="2"/>
      <c r="D34" s="2"/>
      <c r="E34" s="2"/>
      <c r="F34" s="2"/>
      <c r="G34" s="3"/>
    </row>
    <row r="35" ht="27.75" customHeight="1">
      <c r="A35" s="34" t="s">
        <v>74</v>
      </c>
      <c r="B35" s="35" t="s">
        <v>75</v>
      </c>
      <c r="C35" s="2"/>
      <c r="D35" s="2"/>
      <c r="E35" s="2"/>
      <c r="F35" s="2"/>
      <c r="G35" s="3"/>
    </row>
    <row r="36" ht="15.75" customHeight="1"/>
    <row r="37" ht="30.0" customHeight="1">
      <c r="A37" s="41" t="s">
        <v>76</v>
      </c>
      <c r="B37" s="2"/>
      <c r="C37" s="2"/>
      <c r="D37" s="2"/>
      <c r="E37" s="2"/>
      <c r="F37" s="2"/>
      <c r="G37" s="3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A1:G1"/>
    <mergeCell ref="A2:G2"/>
    <mergeCell ref="A4:G4"/>
    <mergeCell ref="A5:C5"/>
    <mergeCell ref="E5:G5"/>
    <mergeCell ref="E7:G7"/>
    <mergeCell ref="E8:G8"/>
    <mergeCell ref="A10:G10"/>
    <mergeCell ref="B11:G11"/>
    <mergeCell ref="B12:G12"/>
    <mergeCell ref="B13:G13"/>
    <mergeCell ref="B14:G14"/>
    <mergeCell ref="A16:G16"/>
    <mergeCell ref="A17:C17"/>
    <mergeCell ref="A32:G32"/>
    <mergeCell ref="B33:G33"/>
    <mergeCell ref="B34:G34"/>
    <mergeCell ref="B35:G35"/>
    <mergeCell ref="A37:G37"/>
    <mergeCell ref="E17:G17"/>
    <mergeCell ref="A23:G23"/>
    <mergeCell ref="B24:G24"/>
    <mergeCell ref="B25:G25"/>
    <mergeCell ref="B26:G26"/>
    <mergeCell ref="B27:G27"/>
    <mergeCell ref="A29:G29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2.0"/>
    <col customWidth="1" min="2" max="9" width="16.0"/>
    <col customWidth="1" min="10" max="26" width="8.71"/>
  </cols>
  <sheetData>
    <row r="1" ht="36.0" customHeight="1">
      <c r="A1" s="1" t="s">
        <v>77</v>
      </c>
      <c r="B1" s="2"/>
      <c r="C1" s="2"/>
      <c r="D1" s="2"/>
      <c r="E1" s="2"/>
      <c r="F1" s="2"/>
      <c r="G1" s="2"/>
      <c r="H1" s="2"/>
      <c r="I1" s="3"/>
    </row>
    <row r="2" ht="21.75" customHeight="1">
      <c r="A2" s="4" t="s">
        <v>78</v>
      </c>
      <c r="B2" s="2"/>
      <c r="C2" s="2"/>
      <c r="D2" s="2"/>
      <c r="E2" s="2"/>
      <c r="F2" s="2"/>
      <c r="G2" s="2"/>
      <c r="H2" s="2"/>
      <c r="I2" s="3"/>
    </row>
    <row r="4" ht="24.0" customHeight="1">
      <c r="A4" s="24" t="s">
        <v>79</v>
      </c>
      <c r="B4" s="2"/>
      <c r="C4" s="2"/>
      <c r="D4" s="2"/>
      <c r="E4" s="2"/>
      <c r="F4" s="2"/>
      <c r="G4" s="2"/>
      <c r="H4" s="2"/>
      <c r="I4" s="3"/>
    </row>
    <row r="5" ht="21.75" customHeight="1">
      <c r="A5" s="27" t="s">
        <v>31</v>
      </c>
      <c r="B5" s="28">
        <v>500000.0</v>
      </c>
      <c r="E5" s="27" t="s">
        <v>32</v>
      </c>
      <c r="F5" s="29">
        <f>PMT(B6/12,B7,-B5)</f>
        <v>10623.52236</v>
      </c>
    </row>
    <row r="6" ht="21.75" customHeight="1">
      <c r="A6" s="27" t="s">
        <v>33</v>
      </c>
      <c r="B6" s="30">
        <v>0.1</v>
      </c>
      <c r="E6" s="31" t="s">
        <v>80</v>
      </c>
      <c r="F6" s="2"/>
      <c r="G6" s="2"/>
      <c r="H6" s="2"/>
      <c r="I6" s="3"/>
    </row>
    <row r="7" ht="21.75" customHeight="1">
      <c r="A7" s="27" t="s">
        <v>35</v>
      </c>
      <c r="B7" s="32">
        <v>60.0</v>
      </c>
    </row>
    <row r="9" ht="24.0" customHeight="1">
      <c r="A9" s="36" t="s">
        <v>81</v>
      </c>
      <c r="B9" s="2"/>
      <c r="C9" s="2"/>
      <c r="D9" s="2"/>
      <c r="E9" s="2"/>
      <c r="F9" s="2"/>
      <c r="G9" s="2"/>
      <c r="H9" s="2"/>
      <c r="I9" s="3"/>
    </row>
    <row r="10" ht="30.0" customHeight="1">
      <c r="A10" s="42" t="s">
        <v>82</v>
      </c>
      <c r="B10" s="2"/>
      <c r="C10" s="2"/>
      <c r="D10" s="2"/>
      <c r="E10" s="2"/>
      <c r="F10" s="2"/>
      <c r="G10" s="2"/>
      <c r="H10" s="2"/>
      <c r="I10" s="3"/>
    </row>
    <row r="11" ht="21.75" customHeight="1">
      <c r="C11" s="21" t="s">
        <v>83</v>
      </c>
      <c r="D11" s="43">
        <f>F5</f>
        <v>10623.52236</v>
      </c>
    </row>
    <row r="12" ht="19.5" customHeight="1">
      <c r="C12" s="44">
        <v>0.08</v>
      </c>
      <c r="D12" s="45"/>
    </row>
    <row r="13" ht="19.5" customHeight="1">
      <c r="C13" s="44">
        <v>0.09</v>
      </c>
      <c r="D13" s="45"/>
    </row>
    <row r="14" ht="19.5" customHeight="1">
      <c r="C14" s="44">
        <v>0.1</v>
      </c>
      <c r="D14" s="45"/>
    </row>
    <row r="15" ht="19.5" customHeight="1">
      <c r="C15" s="44">
        <v>0.11</v>
      </c>
      <c r="D15" s="45"/>
    </row>
    <row r="16" ht="19.5" customHeight="1">
      <c r="C16" s="44">
        <v>0.12</v>
      </c>
      <c r="D16" s="45"/>
    </row>
    <row r="17" ht="19.5" customHeight="1">
      <c r="C17" s="44">
        <v>0.13</v>
      </c>
      <c r="D17" s="45"/>
    </row>
    <row r="18" ht="19.5" customHeight="1">
      <c r="C18" s="44">
        <v>0.14</v>
      </c>
      <c r="D18" s="45"/>
    </row>
    <row r="19" ht="30.0" customHeight="1">
      <c r="A19" s="42" t="s">
        <v>84</v>
      </c>
      <c r="B19" s="2"/>
      <c r="C19" s="2"/>
      <c r="D19" s="2"/>
      <c r="E19" s="2"/>
      <c r="F19" s="2"/>
      <c r="G19" s="2"/>
      <c r="H19" s="2"/>
      <c r="I19" s="3"/>
    </row>
    <row r="21" ht="24.0" customHeight="1">
      <c r="A21" s="36" t="s">
        <v>85</v>
      </c>
      <c r="B21" s="2"/>
      <c r="C21" s="2"/>
      <c r="D21" s="2"/>
      <c r="E21" s="2"/>
      <c r="F21" s="2"/>
      <c r="G21" s="2"/>
      <c r="H21" s="2"/>
      <c r="I21" s="3"/>
    </row>
    <row r="22" ht="30.0" customHeight="1">
      <c r="A22" s="42" t="s">
        <v>86</v>
      </c>
      <c r="B22" s="2"/>
      <c r="C22" s="2"/>
      <c r="D22" s="2"/>
      <c r="E22" s="2"/>
      <c r="F22" s="2"/>
      <c r="G22" s="2"/>
      <c r="H22" s="2"/>
      <c r="I22" s="3"/>
    </row>
    <row r="23" ht="21.75" customHeight="1">
      <c r="F23" s="21" t="s">
        <v>31</v>
      </c>
      <c r="G23" s="43">
        <f>F5</f>
        <v>10623.52236</v>
      </c>
    </row>
    <row r="24" ht="19.5" customHeight="1">
      <c r="F24" s="46">
        <v>200000.0</v>
      </c>
      <c r="G24" s="45"/>
    </row>
    <row r="25" ht="19.5" customHeight="1">
      <c r="F25" s="46">
        <v>300000.0</v>
      </c>
      <c r="G25" s="45"/>
    </row>
    <row r="26" ht="19.5" customHeight="1">
      <c r="F26" s="46">
        <v>400000.0</v>
      </c>
      <c r="G26" s="45"/>
    </row>
    <row r="27" ht="19.5" customHeight="1">
      <c r="F27" s="46">
        <v>500000.0</v>
      </c>
      <c r="G27" s="45"/>
    </row>
    <row r="28" ht="19.5" customHeight="1">
      <c r="F28" s="46">
        <v>600000.0</v>
      </c>
      <c r="G28" s="45"/>
    </row>
    <row r="29" ht="19.5" customHeight="1">
      <c r="F29" s="46">
        <v>700000.0</v>
      </c>
      <c r="G29" s="45"/>
    </row>
    <row r="30" ht="19.5" customHeight="1">
      <c r="F30" s="46">
        <v>800000.0</v>
      </c>
      <c r="G30" s="45"/>
    </row>
    <row r="31" ht="19.5" customHeight="1">
      <c r="F31" s="46">
        <v>900000.0</v>
      </c>
      <c r="G31" s="45"/>
    </row>
    <row r="32" ht="19.5" customHeight="1">
      <c r="F32" s="46">
        <v>1000000.0</v>
      </c>
      <c r="G32" s="45"/>
    </row>
    <row r="33" ht="15.75" customHeight="1"/>
    <row r="34" ht="24.0" customHeight="1">
      <c r="A34" s="24" t="s">
        <v>87</v>
      </c>
      <c r="B34" s="2"/>
      <c r="C34" s="2"/>
      <c r="D34" s="2"/>
      <c r="E34" s="2"/>
      <c r="F34" s="2"/>
      <c r="G34" s="2"/>
      <c r="H34" s="2"/>
      <c r="I34" s="3"/>
    </row>
    <row r="35" ht="21.75" customHeight="1">
      <c r="A35" s="27" t="s">
        <v>49</v>
      </c>
      <c r="B35" s="28">
        <v>250.0</v>
      </c>
      <c r="E35" s="27" t="s">
        <v>54</v>
      </c>
      <c r="F35" s="47">
        <f>(B37-B35)*B36</f>
        <v>25000</v>
      </c>
    </row>
    <row r="36" ht="21.75" customHeight="1">
      <c r="A36" s="27" t="s">
        <v>51</v>
      </c>
      <c r="B36" s="28">
        <v>500.0</v>
      </c>
    </row>
    <row r="37" ht="21.75" customHeight="1">
      <c r="A37" s="27" t="s">
        <v>53</v>
      </c>
      <c r="B37" s="28">
        <v>300.0</v>
      </c>
    </row>
    <row r="38" ht="15.75" customHeight="1"/>
    <row r="39" ht="24.0" customHeight="1">
      <c r="A39" s="33" t="s">
        <v>88</v>
      </c>
      <c r="B39" s="2"/>
      <c r="C39" s="2"/>
      <c r="D39" s="2"/>
      <c r="E39" s="2"/>
      <c r="F39" s="2"/>
      <c r="G39" s="2"/>
      <c r="H39" s="2"/>
      <c r="I39" s="3"/>
    </row>
    <row r="40" ht="30.0" customHeight="1">
      <c r="A40" s="42" t="s">
        <v>89</v>
      </c>
      <c r="B40" s="2"/>
      <c r="C40" s="2"/>
      <c r="D40" s="2"/>
      <c r="E40" s="2"/>
      <c r="F40" s="2"/>
      <c r="G40" s="2"/>
      <c r="H40" s="2"/>
      <c r="I40" s="3"/>
    </row>
    <row r="41" ht="21.75" customHeight="1">
      <c r="B41" s="48">
        <f>F35</f>
        <v>25000</v>
      </c>
      <c r="C41" s="49">
        <v>260.0</v>
      </c>
      <c r="D41" s="49">
        <v>280.0</v>
      </c>
      <c r="E41" s="49">
        <v>300.0</v>
      </c>
      <c r="F41" s="49">
        <v>320.0</v>
      </c>
      <c r="G41" s="49">
        <v>340.0</v>
      </c>
    </row>
    <row r="42" ht="19.5" customHeight="1">
      <c r="B42" s="50">
        <v>300.0</v>
      </c>
      <c r="C42" s="51"/>
      <c r="D42" s="51"/>
      <c r="E42" s="51"/>
      <c r="F42" s="51"/>
      <c r="G42" s="51"/>
    </row>
    <row r="43" ht="19.5" customHeight="1">
      <c r="B43" s="50">
        <v>400.0</v>
      </c>
      <c r="C43" s="51"/>
      <c r="D43" s="51"/>
      <c r="E43" s="51"/>
      <c r="F43" s="51"/>
      <c r="G43" s="51"/>
    </row>
    <row r="44" ht="19.5" customHeight="1">
      <c r="B44" s="50">
        <v>500.0</v>
      </c>
      <c r="C44" s="51"/>
      <c r="D44" s="51"/>
      <c r="E44" s="51"/>
      <c r="F44" s="51"/>
      <c r="G44" s="51"/>
    </row>
    <row r="45" ht="19.5" customHeight="1">
      <c r="B45" s="50">
        <v>600.0</v>
      </c>
      <c r="C45" s="51"/>
      <c r="D45" s="51"/>
      <c r="E45" s="51"/>
      <c r="F45" s="51"/>
      <c r="G45" s="51"/>
    </row>
    <row r="46" ht="19.5" customHeight="1">
      <c r="B46" s="50">
        <v>700.0</v>
      </c>
      <c r="C46" s="51"/>
      <c r="D46" s="51"/>
      <c r="E46" s="51"/>
      <c r="F46" s="51"/>
      <c r="G46" s="51"/>
    </row>
    <row r="47" ht="15.75" customHeight="1"/>
    <row r="48" ht="30.0" customHeight="1">
      <c r="A48" s="42" t="s">
        <v>90</v>
      </c>
      <c r="B48" s="2"/>
      <c r="C48" s="2"/>
      <c r="D48" s="2"/>
      <c r="E48" s="2"/>
      <c r="F48" s="2"/>
      <c r="G48" s="2"/>
      <c r="H48" s="2"/>
      <c r="I48" s="3"/>
    </row>
    <row r="49" ht="15.75" customHeight="1"/>
    <row r="50" ht="24.0" customHeight="1">
      <c r="A50" s="52" t="s">
        <v>91</v>
      </c>
      <c r="B50" s="2"/>
      <c r="C50" s="2"/>
      <c r="D50" s="2"/>
      <c r="E50" s="2"/>
      <c r="F50" s="2"/>
      <c r="G50" s="2"/>
      <c r="H50" s="2"/>
      <c r="I50" s="3"/>
    </row>
    <row r="51" ht="27.75" customHeight="1">
      <c r="A51" s="34" t="s">
        <v>92</v>
      </c>
      <c r="B51" s="35" t="s">
        <v>93</v>
      </c>
      <c r="C51" s="2"/>
      <c r="D51" s="2"/>
      <c r="E51" s="2"/>
      <c r="F51" s="2"/>
      <c r="G51" s="2"/>
      <c r="H51" s="2"/>
      <c r="I51" s="3"/>
    </row>
    <row r="52" ht="27.75" customHeight="1">
      <c r="A52" s="34" t="s">
        <v>94</v>
      </c>
      <c r="B52" s="35" t="s">
        <v>95</v>
      </c>
      <c r="C52" s="2"/>
      <c r="D52" s="2"/>
      <c r="E52" s="2"/>
      <c r="F52" s="2"/>
      <c r="G52" s="2"/>
      <c r="H52" s="2"/>
      <c r="I52" s="3"/>
    </row>
    <row r="53" ht="27.75" customHeight="1">
      <c r="A53" s="34" t="s">
        <v>96</v>
      </c>
      <c r="B53" s="35" t="s">
        <v>97</v>
      </c>
      <c r="C53" s="2"/>
      <c r="D53" s="2"/>
      <c r="E53" s="2"/>
      <c r="F53" s="2"/>
      <c r="G53" s="2"/>
      <c r="H53" s="2"/>
      <c r="I53" s="3"/>
    </row>
    <row r="54" ht="27.75" customHeight="1">
      <c r="A54" s="34" t="s">
        <v>98</v>
      </c>
      <c r="B54" s="35" t="s">
        <v>99</v>
      </c>
      <c r="C54" s="2"/>
      <c r="D54" s="2"/>
      <c r="E54" s="2"/>
      <c r="F54" s="2"/>
      <c r="G54" s="2"/>
      <c r="H54" s="2"/>
      <c r="I54" s="3"/>
    </row>
    <row r="55" ht="27.75" customHeight="1">
      <c r="A55" s="34" t="s">
        <v>100</v>
      </c>
      <c r="B55" s="35" t="s">
        <v>101</v>
      </c>
      <c r="C55" s="2"/>
      <c r="D55" s="2"/>
      <c r="E55" s="2"/>
      <c r="F55" s="2"/>
      <c r="G55" s="2"/>
      <c r="H55" s="2"/>
      <c r="I55" s="3"/>
    </row>
    <row r="56" ht="15.75" customHeight="1"/>
    <row r="57" ht="30.0" customHeight="1">
      <c r="A57" s="41" t="s">
        <v>102</v>
      </c>
      <c r="B57" s="2"/>
      <c r="C57" s="2"/>
      <c r="D57" s="2"/>
      <c r="E57" s="2"/>
      <c r="F57" s="2"/>
      <c r="G57" s="2"/>
      <c r="H57" s="2"/>
      <c r="I57" s="3"/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A1:I1"/>
    <mergeCell ref="A2:I2"/>
    <mergeCell ref="A4:I4"/>
    <mergeCell ref="E6:I6"/>
    <mergeCell ref="A9:I9"/>
    <mergeCell ref="A10:I10"/>
    <mergeCell ref="A19:I19"/>
    <mergeCell ref="B51:I51"/>
    <mergeCell ref="B52:I52"/>
    <mergeCell ref="B53:I53"/>
    <mergeCell ref="B54:I54"/>
    <mergeCell ref="B55:I55"/>
    <mergeCell ref="A57:I57"/>
    <mergeCell ref="A21:I21"/>
    <mergeCell ref="A22:I22"/>
    <mergeCell ref="A34:I34"/>
    <mergeCell ref="A39:I39"/>
    <mergeCell ref="A40:I40"/>
    <mergeCell ref="A48:I48"/>
    <mergeCell ref="A50:I50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0"/>
    <col customWidth="1" min="2" max="2" width="18.0"/>
    <col customWidth="1" min="3" max="3" width="4.0"/>
    <col customWidth="1" min="4" max="4" width="26.0"/>
    <col customWidth="1" min="5" max="5" width="18.0"/>
    <col customWidth="1" min="6" max="6" width="4.0"/>
    <col customWidth="1" min="7" max="7" width="24.0"/>
    <col customWidth="1" min="8" max="10" width="18.0"/>
    <col customWidth="1" min="11" max="26" width="8.71"/>
  </cols>
  <sheetData>
    <row r="1" ht="36.0" customHeight="1">
      <c r="A1" s="1" t="s">
        <v>103</v>
      </c>
      <c r="B1" s="2"/>
      <c r="C1" s="2"/>
      <c r="D1" s="2"/>
      <c r="E1" s="2"/>
      <c r="F1" s="2"/>
      <c r="G1" s="2"/>
      <c r="H1" s="2"/>
      <c r="I1" s="2"/>
      <c r="J1" s="3"/>
    </row>
    <row r="2" ht="21.75" customHeight="1">
      <c r="A2" s="4" t="s">
        <v>104</v>
      </c>
      <c r="B2" s="2"/>
      <c r="C2" s="2"/>
      <c r="D2" s="2"/>
      <c r="E2" s="2"/>
      <c r="F2" s="2"/>
      <c r="G2" s="2"/>
      <c r="H2" s="2"/>
      <c r="I2" s="2"/>
      <c r="J2" s="3"/>
    </row>
    <row r="4" ht="24.0" customHeight="1">
      <c r="A4" s="24" t="s">
        <v>105</v>
      </c>
      <c r="B4" s="2"/>
      <c r="C4" s="2"/>
      <c r="D4" s="2"/>
      <c r="E4" s="2"/>
      <c r="F4" s="3"/>
    </row>
    <row r="5" ht="21.75" customHeight="1">
      <c r="A5" s="25" t="s">
        <v>106</v>
      </c>
      <c r="B5" s="3"/>
    </row>
    <row r="6" ht="21.75" customHeight="1">
      <c r="A6" s="27" t="s">
        <v>107</v>
      </c>
      <c r="B6" s="28">
        <v>1200000.0</v>
      </c>
    </row>
    <row r="7" ht="21.75" customHeight="1">
      <c r="A7" s="27" t="s">
        <v>108</v>
      </c>
      <c r="B7" s="28">
        <v>800000.0</v>
      </c>
    </row>
    <row r="8" ht="21.75" customHeight="1">
      <c r="A8" s="27" t="s">
        <v>109</v>
      </c>
      <c r="B8" s="30">
        <v>0.28</v>
      </c>
    </row>
    <row r="10" ht="21.75" customHeight="1">
      <c r="A10" s="26" t="s">
        <v>110</v>
      </c>
      <c r="B10" s="3"/>
    </row>
    <row r="11" ht="21.75" customHeight="1">
      <c r="A11" s="27" t="s">
        <v>111</v>
      </c>
      <c r="B11" s="37">
        <f>B6-B7</f>
        <v>400000</v>
      </c>
    </row>
    <row r="12" ht="21.75" customHeight="1">
      <c r="A12" s="27" t="s">
        <v>54</v>
      </c>
      <c r="B12" s="37">
        <f>(B6-B7)*(1-B8)</f>
        <v>288000</v>
      </c>
    </row>
    <row r="13" ht="21.75" customHeight="1">
      <c r="A13" s="27" t="s">
        <v>112</v>
      </c>
      <c r="B13" s="38">
        <f>IF(B6=0,0,B12/B6)</f>
        <v>0.24</v>
      </c>
    </row>
    <row r="14" ht="21.75" customHeight="1">
      <c r="A14" s="27" t="s">
        <v>113</v>
      </c>
      <c r="B14" s="38">
        <f>IF(B6=0,0,B7/B6)</f>
        <v>0.6666666667</v>
      </c>
    </row>
    <row r="16" ht="24.0" customHeight="1">
      <c r="A16" s="33" t="s">
        <v>114</v>
      </c>
      <c r="B16" s="2"/>
      <c r="C16" s="2"/>
      <c r="D16" s="2"/>
      <c r="E16" s="2"/>
      <c r="F16" s="2"/>
      <c r="G16" s="2"/>
      <c r="H16" s="2"/>
      <c r="I16" s="2"/>
      <c r="J16" s="3"/>
    </row>
    <row r="17" ht="21.75" customHeight="1">
      <c r="A17" s="21"/>
      <c r="B17" s="53" t="s">
        <v>115</v>
      </c>
      <c r="C17" s="53" t="s">
        <v>116</v>
      </c>
      <c r="D17" s="53" t="s">
        <v>117</v>
      </c>
      <c r="E17" s="53" t="s">
        <v>118</v>
      </c>
      <c r="F17" s="53" t="s">
        <v>119</v>
      </c>
    </row>
    <row r="18" ht="21.75" customHeight="1">
      <c r="A18" s="27" t="s">
        <v>107</v>
      </c>
      <c r="B18" s="54" t="s">
        <v>120</v>
      </c>
      <c r="C18" s="55">
        <v>800000.0</v>
      </c>
      <c r="D18" s="56">
        <v>1200000.0</v>
      </c>
      <c r="E18" s="57">
        <v>1800000.0</v>
      </c>
      <c r="F18" s="46">
        <v>2500000.0</v>
      </c>
    </row>
    <row r="19" ht="21.75" customHeight="1">
      <c r="A19" s="27" t="s">
        <v>108</v>
      </c>
      <c r="B19" s="54" t="s">
        <v>121</v>
      </c>
      <c r="C19" s="55">
        <v>750000.0</v>
      </c>
      <c r="D19" s="56">
        <v>800000.0</v>
      </c>
      <c r="E19" s="57">
        <v>900000.0</v>
      </c>
      <c r="F19" s="46">
        <v>1000000.0</v>
      </c>
    </row>
    <row r="20" ht="21.75" customHeight="1">
      <c r="A20" s="27" t="s">
        <v>109</v>
      </c>
      <c r="B20" s="54" t="s">
        <v>122</v>
      </c>
      <c r="C20" s="58">
        <v>0.3</v>
      </c>
      <c r="D20" s="59">
        <v>0.28</v>
      </c>
      <c r="E20" s="60">
        <v>0.25</v>
      </c>
      <c r="F20" s="44">
        <v>0.22</v>
      </c>
    </row>
    <row r="21" ht="15.75" customHeight="1"/>
    <row r="22" ht="24.0" customHeight="1">
      <c r="A22" s="39" t="s">
        <v>123</v>
      </c>
      <c r="B22" s="2"/>
      <c r="C22" s="2"/>
      <c r="D22" s="2"/>
      <c r="E22" s="2"/>
      <c r="F22" s="2"/>
      <c r="G22" s="2"/>
      <c r="H22" s="2"/>
      <c r="I22" s="2"/>
      <c r="J22" s="3"/>
    </row>
    <row r="23" ht="21.75" customHeight="1">
      <c r="A23" s="61" t="s">
        <v>124</v>
      </c>
      <c r="B23" s="53" t="s">
        <v>125</v>
      </c>
      <c r="C23" s="53" t="s">
        <v>116</v>
      </c>
      <c r="D23" s="53" t="s">
        <v>117</v>
      </c>
      <c r="E23" s="53" t="s">
        <v>118</v>
      </c>
      <c r="F23" s="53" t="s">
        <v>119</v>
      </c>
    </row>
    <row r="24" ht="21.75" customHeight="1">
      <c r="A24" s="62" t="s">
        <v>126</v>
      </c>
      <c r="B24" s="63" t="s">
        <v>54</v>
      </c>
      <c r="C24" s="64">
        <v>35000.0</v>
      </c>
      <c r="D24" s="65">
        <v>288000.0</v>
      </c>
      <c r="E24" s="66">
        <v>675000.0</v>
      </c>
      <c r="F24" s="67">
        <v>1170000.0</v>
      </c>
    </row>
    <row r="25" ht="21.75" customHeight="1">
      <c r="A25" s="62" t="s">
        <v>127</v>
      </c>
      <c r="B25" s="63" t="s">
        <v>112</v>
      </c>
      <c r="C25" s="64" t="s">
        <v>128</v>
      </c>
      <c r="D25" s="65" t="s">
        <v>129</v>
      </c>
      <c r="E25" s="66" t="s">
        <v>130</v>
      </c>
      <c r="F25" s="67" t="s">
        <v>131</v>
      </c>
    </row>
    <row r="26" ht="21.75" customHeight="1">
      <c r="A26" s="62" t="s">
        <v>132</v>
      </c>
      <c r="B26" s="63" t="s">
        <v>113</v>
      </c>
      <c r="C26" s="64" t="s">
        <v>133</v>
      </c>
      <c r="D26" s="65" t="s">
        <v>134</v>
      </c>
      <c r="E26" s="66" t="s">
        <v>135</v>
      </c>
      <c r="F26" s="67" t="s">
        <v>136</v>
      </c>
    </row>
    <row r="27" ht="24.0" customHeight="1">
      <c r="A27" s="24" t="s">
        <v>137</v>
      </c>
      <c r="B27" s="2"/>
      <c r="C27" s="2"/>
      <c r="D27" s="2"/>
      <c r="E27" s="2"/>
      <c r="F27" s="2"/>
      <c r="G27" s="2"/>
      <c r="H27" s="2"/>
      <c r="I27" s="2"/>
      <c r="J27" s="3"/>
    </row>
    <row r="28" ht="30.0" customHeight="1">
      <c r="A28" s="21" t="s">
        <v>138</v>
      </c>
      <c r="B28" s="68" t="s">
        <v>139</v>
      </c>
      <c r="C28" s="2"/>
      <c r="D28" s="2"/>
      <c r="E28" s="2"/>
      <c r="F28" s="3"/>
    </row>
    <row r="29" ht="30.0" customHeight="1">
      <c r="A29" s="21" t="s">
        <v>140</v>
      </c>
      <c r="B29" s="69" t="s">
        <v>141</v>
      </c>
      <c r="C29" s="2"/>
      <c r="D29" s="2"/>
      <c r="E29" s="2"/>
      <c r="F29" s="3"/>
    </row>
    <row r="30" ht="30.0" customHeight="1">
      <c r="A30" s="21" t="s">
        <v>142</v>
      </c>
      <c r="B30" s="68" t="s">
        <v>143</v>
      </c>
      <c r="C30" s="2"/>
      <c r="D30" s="2"/>
      <c r="E30" s="2"/>
      <c r="F30" s="3"/>
    </row>
    <row r="31" ht="30.0" customHeight="1">
      <c r="A31" s="21" t="s">
        <v>144</v>
      </c>
      <c r="B31" s="69" t="s">
        <v>145</v>
      </c>
      <c r="C31" s="2"/>
      <c r="D31" s="2"/>
      <c r="E31" s="2"/>
      <c r="F31" s="3"/>
    </row>
    <row r="32" ht="30.0" customHeight="1">
      <c r="A32" s="21" t="s">
        <v>146</v>
      </c>
      <c r="B32" s="68" t="s">
        <v>147</v>
      </c>
      <c r="C32" s="2"/>
      <c r="D32" s="2"/>
      <c r="E32" s="2"/>
      <c r="F32" s="3"/>
    </row>
    <row r="33" ht="30.0" customHeight="1">
      <c r="A33" s="21" t="s">
        <v>148</v>
      </c>
      <c r="B33" s="69" t="s">
        <v>149</v>
      </c>
      <c r="C33" s="2"/>
      <c r="D33" s="2"/>
      <c r="E33" s="2"/>
      <c r="F33" s="3"/>
    </row>
    <row r="34" ht="30.0" customHeight="1">
      <c r="A34" s="21" t="s">
        <v>150</v>
      </c>
      <c r="B34" s="68" t="s">
        <v>151</v>
      </c>
      <c r="C34" s="2"/>
      <c r="D34" s="2"/>
      <c r="E34" s="2"/>
      <c r="F34" s="3"/>
    </row>
    <row r="35" ht="30.0" customHeight="1">
      <c r="A35" s="21" t="s">
        <v>152</v>
      </c>
      <c r="B35" s="69" t="s">
        <v>153</v>
      </c>
      <c r="C35" s="2"/>
      <c r="D35" s="2"/>
      <c r="E35" s="2"/>
      <c r="F35" s="3"/>
    </row>
    <row r="36" ht="30.0" customHeight="1">
      <c r="A36" s="21" t="s">
        <v>154</v>
      </c>
      <c r="B36" s="68" t="s">
        <v>155</v>
      </c>
      <c r="C36" s="2"/>
      <c r="D36" s="2"/>
      <c r="E36" s="2"/>
      <c r="F36" s="3"/>
    </row>
    <row r="37" ht="15.75" customHeight="1"/>
    <row r="38" ht="24.0" customHeight="1">
      <c r="A38" s="33" t="s">
        <v>156</v>
      </c>
      <c r="B38" s="2"/>
      <c r="C38" s="2"/>
      <c r="D38" s="2"/>
      <c r="E38" s="2"/>
      <c r="F38" s="2"/>
      <c r="G38" s="2"/>
      <c r="H38" s="2"/>
      <c r="I38" s="2"/>
      <c r="J38" s="3"/>
    </row>
    <row r="39" ht="27.75" customHeight="1">
      <c r="A39" s="34" t="s">
        <v>157</v>
      </c>
      <c r="B39" s="35" t="s">
        <v>158</v>
      </c>
      <c r="C39" s="2"/>
      <c r="D39" s="2"/>
      <c r="E39" s="2"/>
      <c r="F39" s="3"/>
    </row>
    <row r="40" ht="27.75" customHeight="1">
      <c r="A40" s="34" t="s">
        <v>159</v>
      </c>
      <c r="B40" s="35" t="s">
        <v>160</v>
      </c>
      <c r="C40" s="2"/>
      <c r="D40" s="2"/>
      <c r="E40" s="2"/>
      <c r="F40" s="3"/>
    </row>
    <row r="41" ht="27.75" customHeight="1">
      <c r="A41" s="34" t="s">
        <v>161</v>
      </c>
      <c r="B41" s="35" t="s">
        <v>162</v>
      </c>
      <c r="C41" s="2"/>
      <c r="D41" s="2"/>
      <c r="E41" s="2"/>
      <c r="F41" s="3"/>
    </row>
    <row r="42" ht="27.75" customHeight="1">
      <c r="A42" s="34" t="s">
        <v>163</v>
      </c>
      <c r="B42" s="35" t="s">
        <v>164</v>
      </c>
      <c r="C42" s="2"/>
      <c r="D42" s="2"/>
      <c r="E42" s="2"/>
      <c r="F42" s="3"/>
    </row>
    <row r="43" ht="27.75" customHeight="1">
      <c r="A43" s="34" t="s">
        <v>165</v>
      </c>
      <c r="B43" s="35" t="s">
        <v>166</v>
      </c>
      <c r="C43" s="2"/>
      <c r="D43" s="2"/>
      <c r="E43" s="2"/>
      <c r="F43" s="3"/>
    </row>
    <row r="44" ht="27.75" customHeight="1">
      <c r="A44" s="34" t="s">
        <v>167</v>
      </c>
      <c r="B44" s="35" t="s">
        <v>168</v>
      </c>
      <c r="C44" s="2"/>
      <c r="D44" s="2"/>
      <c r="E44" s="2"/>
      <c r="F44" s="3"/>
    </row>
    <row r="45" ht="15.75" customHeight="1"/>
    <row r="46" ht="30.0" customHeight="1">
      <c r="A46" s="42" t="s">
        <v>169</v>
      </c>
      <c r="B46" s="2"/>
      <c r="C46" s="2"/>
      <c r="D46" s="2"/>
      <c r="E46" s="2"/>
      <c r="F46" s="2"/>
      <c r="G46" s="2"/>
      <c r="H46" s="2"/>
      <c r="I46" s="2"/>
      <c r="J46" s="3"/>
    </row>
    <row r="47" ht="30.0" customHeight="1">
      <c r="A47" s="41" t="s">
        <v>170</v>
      </c>
      <c r="B47" s="2"/>
      <c r="C47" s="2"/>
      <c r="D47" s="2"/>
      <c r="E47" s="2"/>
      <c r="F47" s="2"/>
      <c r="G47" s="2"/>
      <c r="H47" s="2"/>
      <c r="I47" s="2"/>
      <c r="J47" s="3"/>
    </row>
    <row r="48" ht="15.75" customHeight="1"/>
    <row r="49" ht="24.0" customHeight="1">
      <c r="A49" s="70" t="s">
        <v>171</v>
      </c>
      <c r="B49" s="2"/>
      <c r="C49" s="2"/>
      <c r="D49" s="2"/>
      <c r="E49" s="2"/>
      <c r="F49" s="2"/>
      <c r="G49" s="2"/>
      <c r="H49" s="2"/>
      <c r="I49" s="2"/>
      <c r="J49" s="3"/>
    </row>
    <row r="50" ht="21.75" customHeight="1">
      <c r="A50" s="53" t="s">
        <v>172</v>
      </c>
      <c r="B50" s="53" t="s">
        <v>173</v>
      </c>
      <c r="C50" s="53" t="s">
        <v>174</v>
      </c>
      <c r="D50" s="53" t="s">
        <v>175</v>
      </c>
      <c r="E50" s="53" t="s">
        <v>54</v>
      </c>
      <c r="F50" s="53" t="s">
        <v>176</v>
      </c>
    </row>
    <row r="51" ht="21.75" customHeight="1">
      <c r="A51" s="27" t="s">
        <v>116</v>
      </c>
      <c r="B51" s="71"/>
      <c r="C51" s="71"/>
      <c r="D51" s="72"/>
      <c r="E51" s="71"/>
      <c r="F51" s="72"/>
    </row>
    <row r="52" ht="21.75" customHeight="1">
      <c r="A52" s="27" t="s">
        <v>117</v>
      </c>
      <c r="B52" s="71"/>
      <c r="C52" s="71"/>
      <c r="D52" s="72"/>
      <c r="E52" s="71"/>
      <c r="F52" s="72"/>
    </row>
    <row r="53" ht="21.75" customHeight="1">
      <c r="A53" s="27" t="s">
        <v>118</v>
      </c>
      <c r="B53" s="71"/>
      <c r="C53" s="71"/>
      <c r="D53" s="72"/>
      <c r="E53" s="71"/>
      <c r="F53" s="72"/>
    </row>
    <row r="54" ht="21.75" customHeight="1">
      <c r="A54" s="27" t="s">
        <v>177</v>
      </c>
      <c r="B54" s="71"/>
      <c r="C54" s="71"/>
      <c r="D54" s="72"/>
      <c r="E54" s="71"/>
      <c r="F54" s="72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A1:J1"/>
    <mergeCell ref="A2:J2"/>
    <mergeCell ref="A4:F4"/>
    <mergeCell ref="A5:B5"/>
    <mergeCell ref="A10:B10"/>
    <mergeCell ref="A16:J16"/>
    <mergeCell ref="A22:J22"/>
    <mergeCell ref="A27:J27"/>
    <mergeCell ref="B28:F28"/>
    <mergeCell ref="B29:F29"/>
    <mergeCell ref="B30:F30"/>
    <mergeCell ref="B31:F31"/>
    <mergeCell ref="B32:F32"/>
    <mergeCell ref="B33:F33"/>
    <mergeCell ref="B42:F42"/>
    <mergeCell ref="B43:F43"/>
    <mergeCell ref="B44:F44"/>
    <mergeCell ref="A46:J46"/>
    <mergeCell ref="A47:J47"/>
    <mergeCell ref="A49:J49"/>
    <mergeCell ref="B34:F34"/>
    <mergeCell ref="B35:F35"/>
    <mergeCell ref="B36:F36"/>
    <mergeCell ref="A38:J38"/>
    <mergeCell ref="B39:F39"/>
    <mergeCell ref="B40:F40"/>
    <mergeCell ref="B41:F41"/>
  </mergeCells>
  <printOptions/>
  <pageMargins bottom="1.0" footer="0.0" header="0.0" left="0.75" right="0.75" top="1.0"/>
  <pageSetup paperSize="9" orientation="portrait"/>
  <drawing r:id="rId1"/>
</worksheet>
</file>