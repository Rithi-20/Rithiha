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Rithiha\Excel\Practice_files_lms\"/>
    </mc:Choice>
  </mc:AlternateContent>
  <xr:revisionPtr revIDLastSave="0" documentId="8_{28A48A12-EC11-4EAA-8F42-24CA5E958FC1}" xr6:coauthVersionLast="47" xr6:coauthVersionMax="47" xr10:uidLastSave="{00000000-0000-0000-0000-000000000000}"/>
  <bookViews>
    <workbookView xWindow="-120" yWindow="-120" windowWidth="20730" windowHeight="11040" firstSheet="3" activeTab="7" xr2:uid="{00000000-000D-0000-FFFF-FFFF00000000}"/>
  </bookViews>
  <sheets>
    <sheet name="Overview" sheetId="1" r:id="rId1"/>
    <sheet name="Part_I_Data" sheetId="2" r:id="rId2"/>
    <sheet name="Summary_P1" sheetId="3" r:id="rId3"/>
    <sheet name="Part_II_Data" sheetId="4" r:id="rId4"/>
    <sheet name="Product_Catalog" sheetId="5" r:id="rId5"/>
    <sheet name="Manager_Table" sheetId="6" r:id="rId6"/>
    <sheet name="Part_III_Data" sheetId="7" r:id="rId7"/>
    <sheet name="Summary_All" sheetId="8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5" l="1"/>
  <c r="N5" i="5"/>
  <c r="N4" i="5"/>
  <c r="C13" i="8" a="1"/>
  <c r="C13" i="8" s="1"/>
  <c r="C12" i="8"/>
  <c r="C11" i="8"/>
  <c r="C10" i="8"/>
  <c r="C9" i="8"/>
  <c r="C8" i="8" a="1"/>
  <c r="C8" i="8" s="1"/>
  <c r="C7" i="8" a="1"/>
  <c r="C7" i="8" s="1"/>
  <c r="C6" i="8"/>
  <c r="C5" i="8"/>
  <c r="C4" i="8"/>
  <c r="B49" i="7"/>
  <c r="B46" i="7"/>
  <c r="B45" i="7"/>
  <c r="B44" i="7"/>
  <c r="B41" i="7"/>
  <c r="B40" i="7"/>
  <c r="B19" i="6"/>
  <c r="B14" i="5"/>
  <c r="B25" i="4"/>
  <c r="B24" i="4"/>
  <c r="B27" i="3"/>
  <c r="B26" i="3"/>
  <c r="B25" i="3"/>
  <c r="B19" i="3"/>
  <c r="B17" i="3"/>
  <c r="B15" i="3"/>
  <c r="B13" i="3"/>
  <c r="B11" i="3"/>
  <c r="B9" i="3"/>
  <c r="B7" i="3"/>
  <c r="B5" i="3"/>
  <c r="B44" i="2"/>
  <c r="B43" i="2"/>
  <c r="B42" i="2"/>
  <c r="B41" i="2"/>
  <c r="B40" i="2"/>
  <c r="B39" i="2"/>
  <c r="B38" i="2"/>
</calcChain>
</file>

<file path=xl/sharedStrings.xml><?xml version="1.0" encoding="utf-8"?>
<sst xmlns="http://schemas.openxmlformats.org/spreadsheetml/2006/main" count="709" uniqueCount="324">
  <si>
    <t>Excel_Functions_Practice.xlsx  |  Complete Practice Workbook</t>
  </si>
  <si>
    <t>Anudip Foundation — Excel Functions (Parts I, II &amp; III)  |  For Learner &amp; Trainer Use</t>
  </si>
  <si>
    <t>YELLOW cell</t>
  </si>
  <si>
    <t>Task instruction — read and follow the step</t>
  </si>
  <si>
    <t>GREEN cell</t>
  </si>
  <si>
    <t>Your formula goes HERE — type in this cell</t>
  </si>
  <si>
    <t>Blue-tinted cell</t>
  </si>
  <si>
    <t>Pre-filled data — do not edit</t>
  </si>
  <si>
    <t>White with border</t>
  </si>
  <si>
    <t>Empty work area — type answers or formulas here</t>
  </si>
  <si>
    <t>Red-tinted cell</t>
  </si>
  <si>
    <t>Important caution or warning</t>
  </si>
  <si>
    <t>Sheet</t>
  </si>
  <si>
    <t>Part / Topic</t>
  </si>
  <si>
    <t>Functions Practiced</t>
  </si>
  <si>
    <t>Part_I_Data</t>
  </si>
  <si>
    <t>Part I — Logical &amp; Conditional</t>
  </si>
  <si>
    <t>AND/OR/NOT, Nested IF, SUMIFS/AVERAGEIFS/COUNTIFS</t>
  </si>
  <si>
    <t>Summary_P1</t>
  </si>
  <si>
    <t>Part I — Summary Exercise Area</t>
  </si>
  <si>
    <t>Pre-built summary table for COUNTIFS/SUMIFS tasks</t>
  </si>
  <si>
    <t>Part_II_Data</t>
  </si>
  <si>
    <t>Part II — Lookup &amp; Reference</t>
  </si>
  <si>
    <t>VLOOKUP, HLOOKUP, MATCH, INDEX, INDEX+MATCH, XLOOKUP</t>
  </si>
  <si>
    <t>Product_Catalog</t>
  </si>
  <si>
    <t>Part II — HLOOKUP Table</t>
  </si>
  <si>
    <t>Horizontal table: months x products</t>
  </si>
  <si>
    <t>Manager_Table</t>
  </si>
  <si>
    <t>Part II — Manager Lookup</t>
  </si>
  <si>
    <t>MATCH and INDEX+MATCH on manager data</t>
  </si>
  <si>
    <t>Part_III_Data</t>
  </si>
  <si>
    <t>Part III — TRANSPOSE &amp; Date/Time</t>
  </si>
  <si>
    <t>TRANSPOSE, TODAY/NOW, DATE, DATEDIF, EOMONTH, NETWORKDAYS, etc.</t>
  </si>
  <si>
    <t>Summary_All</t>
  </si>
  <si>
    <t>Capstone — Full Series Dashboard</t>
  </si>
  <si>
    <t>Integrates Part I+II+III formulas into one dashboard</t>
  </si>
  <si>
    <t>Part I — Employee Dataset  |  Exercises: AND/OR/NOT, Nested Functions, SUMIFS/AVERAGEIFS/COUNTIFS</t>
  </si>
  <si>
    <t>Do NOT edit columns A-K. Type your exercise formulas in columns J onwards (yellow headers).</t>
  </si>
  <si>
    <t>Emp_ID</t>
  </si>
  <si>
    <t>Employee Name</t>
  </si>
  <si>
    <t>Department</t>
  </si>
  <si>
    <t>Score</t>
  </si>
  <si>
    <t>Attendance %</t>
  </si>
  <si>
    <t>Salary</t>
  </si>
  <si>
    <t>Join Year</t>
  </si>
  <si>
    <t>Region</t>
  </si>
  <si>
    <t>Status</t>
  </si>
  <si>
    <t>Scholarship Eligible</t>
  </si>
  <si>
    <t>Priority Review</t>
  </si>
  <si>
    <t>Active Flag</t>
  </si>
  <si>
    <t>Bonus Eligible</t>
  </si>
  <si>
    <t>Grade</t>
  </si>
  <si>
    <t>Above Avg Flag</t>
  </si>
  <si>
    <t>Top Performer</t>
  </si>
  <si>
    <t>Tier</t>
  </si>
  <si>
    <t>E001</t>
  </si>
  <si>
    <t>Ananya Sharma</t>
  </si>
  <si>
    <t>HR</t>
  </si>
  <si>
    <t>North</t>
  </si>
  <si>
    <t>Active</t>
  </si>
  <si>
    <t>E002</t>
  </si>
  <si>
    <t>Ravi Kumar</t>
  </si>
  <si>
    <t>Sales</t>
  </si>
  <si>
    <t>South</t>
  </si>
  <si>
    <t>E003</t>
  </si>
  <si>
    <t>Priya Menon</t>
  </si>
  <si>
    <t>IT</t>
  </si>
  <si>
    <t>East</t>
  </si>
  <si>
    <t>E004</t>
  </si>
  <si>
    <t>Vikram Singh</t>
  </si>
  <si>
    <t>Finance</t>
  </si>
  <si>
    <t>West</t>
  </si>
  <si>
    <t>E005</t>
  </si>
  <si>
    <t>Sara Khan</t>
  </si>
  <si>
    <t>Ops</t>
  </si>
  <si>
    <t>E006</t>
  </si>
  <si>
    <t>Arjun Patel</t>
  </si>
  <si>
    <t>E007</t>
  </si>
  <si>
    <t>Meera Iyer</t>
  </si>
  <si>
    <t>E008</t>
  </si>
  <si>
    <t>Kiran Rao</t>
  </si>
  <si>
    <t>Inactive</t>
  </si>
  <si>
    <t>E009</t>
  </si>
  <si>
    <t>Sneha Pillai</t>
  </si>
  <si>
    <t>E010</t>
  </si>
  <si>
    <t>Rohit Das</t>
  </si>
  <si>
    <t>E011</t>
  </si>
  <si>
    <t>Deepa Nair</t>
  </si>
  <si>
    <t>E012</t>
  </si>
  <si>
    <t>Manoj Verma</t>
  </si>
  <si>
    <t>E013</t>
  </si>
  <si>
    <t>Shalini Gupta</t>
  </si>
  <si>
    <t>E014</t>
  </si>
  <si>
    <t>Ajay Rao</t>
  </si>
  <si>
    <t>E015</t>
  </si>
  <si>
    <t>Fatima Sheikh</t>
  </si>
  <si>
    <t>E016</t>
  </si>
  <si>
    <t>Suresh Pillai</t>
  </si>
  <si>
    <t>E017</t>
  </si>
  <si>
    <t>Kavitha Nair</t>
  </si>
  <si>
    <t>E018</t>
  </si>
  <si>
    <t>Rahul Mehta</t>
  </si>
  <si>
    <t>E019</t>
  </si>
  <si>
    <t>Neha Joshi</t>
  </si>
  <si>
    <t>E020</t>
  </si>
  <si>
    <t>Arun Krishnan</t>
  </si>
  <si>
    <t>E021</t>
  </si>
  <si>
    <t>Pooja Reddy</t>
  </si>
  <si>
    <t>E022</t>
  </si>
  <si>
    <t>Sanjay Gupta</t>
  </si>
  <si>
    <t>E023</t>
  </si>
  <si>
    <t>Divya Menon</t>
  </si>
  <si>
    <t>E024</t>
  </si>
  <si>
    <t>Ashish Shah</t>
  </si>
  <si>
    <t>E025</t>
  </si>
  <si>
    <t>Lakshmi Devi</t>
  </si>
  <si>
    <t>E026</t>
  </si>
  <si>
    <t>Ganesh Rao</t>
  </si>
  <si>
    <t>E027</t>
  </si>
  <si>
    <t>Sunita Patel</t>
  </si>
  <si>
    <t>E028</t>
  </si>
  <si>
    <t>Mohan Das</t>
  </si>
  <si>
    <t>E029</t>
  </si>
  <si>
    <t>Rekha Pillai</t>
  </si>
  <si>
    <t>E030</t>
  </si>
  <si>
    <t>Aditya Kumar</t>
  </si>
  <si>
    <t>← Exercise 1 Task 1 - AND</t>
  </si>
  <si>
    <t>← Exercise 1 Task 2 - OR</t>
  </si>
  <si>
    <t>← Exercise 1 Task 3 - NOT</t>
  </si>
  <si>
    <t>← Exercise 1 Task 4 - Combined</t>
  </si>
  <si>
    <t>← Exercise 2 Task 1 - Nested IF</t>
  </si>
  <si>
    <t>← Exercise 2 Task 2 - Nested AVG</t>
  </si>
  <si>
    <t>← Exercise 2 Task 3 - MAX</t>
  </si>
  <si>
    <t>← Exercise 2 Task 4 - AND+IFS</t>
  </si>
  <si>
    <t>EXERCISE INSTRUCTIONS — Type your formulas in the purple-headed columns above</t>
  </si>
  <si>
    <t>Ex1 T1 — AND (col J):</t>
  </si>
  <si>
    <t>Ex1 T2 — OR (col K):</t>
  </si>
  <si>
    <t>Ex1 T3 — NOT (col L):</t>
  </si>
  <si>
    <t>Ex1 T4 — COMBINED (col M):</t>
  </si>
  <si>
    <t>Ex2 T1 — Grade (col N):</t>
  </si>
  <si>
    <t>Ex2 T2 — Above Avg (col O):</t>
  </si>
  <si>
    <t>Ex2 T3 — Top Performer (col P):</t>
  </si>
  <si>
    <t>Ex2 T4 — Tier (col Q):</t>
  </si>
  <si>
    <t>Summary Exercise — SUMIFS, AVERAGEIFS, COUNTIFS</t>
  </si>
  <si>
    <t>Complete the green cells with COUNTIFS / SUMIFS / AVERAGEIFS formulas. Reference Part_I_Data for all ranges.</t>
  </si>
  <si>
    <t>Task</t>
  </si>
  <si>
    <t>Your Formula (green cell)</t>
  </si>
  <si>
    <t>Question</t>
  </si>
  <si>
    <t>S1 — COUNTIFS</t>
  </si>
  <si>
    <t>How many employees are in the Sales department?</t>
  </si>
  <si>
    <t xml:space="preserve">  Expected formula:</t>
  </si>
  <si>
    <t>S2 — COUNTIFS (2 criteria)</t>
  </si>
  <si>
    <t>How many Active employees scored more than 70?</t>
  </si>
  <si>
    <t>S3 — COUNTIFS (3 criteria)</t>
  </si>
  <si>
    <t>How many IT employees in North region who joined after 2020?</t>
  </si>
  <si>
    <t>S4 — COUNTIFS (same column twice)</t>
  </si>
  <si>
    <t>How many employees have score between 60 and 80 inclusive?</t>
  </si>
  <si>
    <t>S5 — SUMIFS</t>
  </si>
  <si>
    <t>Total salary for HR employees in South region?</t>
  </si>
  <si>
    <t>S6 — SUMIFS (2 criteria)</t>
  </si>
  <si>
    <t>Total salary for Active employees with score &gt;= 80?</t>
  </si>
  <si>
    <t>S7 — AVERAGEIFS</t>
  </si>
  <si>
    <t>Average score of Active Finance employees?</t>
  </si>
  <si>
    <t>S8 — AVERAGEIFS (2 criteria)</t>
  </si>
  <si>
    <t>Average salary in Ops dept for attendance &gt;= 85%?</t>
  </si>
  <si>
    <t>DYNAMIC DASHBOARD — Type Dept in E4 and Region in E5. Formulas auto-update.</t>
  </si>
  <si>
    <t>Department Filter:</t>
  </si>
  <si>
    <t>Region Filter:</t>
  </si>
  <si>
    <t>Count (filtered):</t>
  </si>
  <si>
    <t>← Change E4/E5 to see live results</t>
  </si>
  <si>
    <t>Total Salary:</t>
  </si>
  <si>
    <t>Avg Score:</t>
  </si>
  <si>
    <t>Part II — Lookup Dataset  |  Exercises: VLOOKUP, HLOOKUP, MATCH, INDEX, INDEX+MATCH, XLOOKUP</t>
  </si>
  <si>
    <t>Employee Table (A-G) is the lookup source. Use the Lookup_Area (columns I onwards) for exercise formulas.</t>
  </si>
  <si>
    <t>City</t>
  </si>
  <si>
    <t>Manager_ID</t>
  </si>
  <si>
    <t>Join_Date</t>
  </si>
  <si>
    <t>Lookup ID</t>
  </si>
  <si>
    <t>Name (VLOOKUP)</t>
  </si>
  <si>
    <t>Dept (VLOOKUP)</t>
  </si>
  <si>
    <t>Salary (VLOOKUP)</t>
  </si>
  <si>
    <t>Error Safe (IFERROR)</t>
  </si>
  <si>
    <t>Name (XLOOKUP)</t>
  </si>
  <si>
    <t>MATCH Position</t>
  </si>
  <si>
    <t>Name (INDEX)</t>
  </si>
  <si>
    <t>City (INDEX+MATCH)</t>
  </si>
  <si>
    <t>Gurugram</t>
  </si>
  <si>
    <t>M001</t>
  </si>
  <si>
    <t>Chennai</t>
  </si>
  <si>
    <t>M002</t>
  </si>
  <si>
    <t>Kolkata</t>
  </si>
  <si>
    <t>M003</t>
  </si>
  <si>
    <t>Pune</t>
  </si>
  <si>
    <t>M004</t>
  </si>
  <si>
    <t>Noida</t>
  </si>
  <si>
    <t>M005</t>
  </si>
  <si>
    <t>Bhubaneswar</t>
  </si>
  <si>
    <t>Ahmedabad</t>
  </si>
  <si>
    <t>Delhi</t>
  </si>
  <si>
    <t>Z999</t>
  </si>
  <si>
    <t>EXERCISE INSTRUCTIONS — Type formulas in columns J-Q for the Lookup IDs in column I</t>
  </si>
  <si>
    <t>Ex4 T1 — VLOOKUP Name (col J):</t>
  </si>
  <si>
    <t>Ex4 T2 — VLOOKUP Dept (col K):</t>
  </si>
  <si>
    <t>Ex4 T3 — VLOOKUP Salary (col L):</t>
  </si>
  <si>
    <t>Ex4 T4 — IFERROR (col M):</t>
  </si>
  <si>
    <t>Ex9 T1 — XLOOKUP (col N):</t>
  </si>
  <si>
    <t>Ex6 T1 — MATCH Position (col O):</t>
  </si>
  <si>
    <t>Ex7 T1 — INDEX Name (col P):</t>
  </si>
  <si>
    <t>Ex8 T1 — INDEX+MATCH City (col Q):</t>
  </si>
  <si>
    <t>BONUS — Two-way lookup:</t>
  </si>
  <si>
    <t>In cell S4: type an Emp_ID. In T4: type a column header name. Formula: =INDEX(A3:G33,MATCH(S4,A3:A33,0),MATCH(T4,A3:G3,0))</t>
  </si>
  <si>
    <t>Patna</t>
  </si>
  <si>
    <t>Product_Catalog — HLOOKUP Practice  |  Price Matrix: Products (rows) x Months (columns)</t>
  </si>
  <si>
    <t>HLOOKUP searches the FIRST ROW (months). row_index_num counts from row 1 of the table.</t>
  </si>
  <si>
    <t>Product / Month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</si>
  <si>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</si>
  <si>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</si>
  <si>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</si>
  <si>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</si>
  <si>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</si>
  <si>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</si>
  <si>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</si>
  <si>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</si>
  <si>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</si>
  <si>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</si>
  <si>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</si>
  <si>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</si>
  <si>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Laptops</t>
  </si>
  <si>
    <t>Mobiles</t>
  </si>
  <si>
    <t>Tablets</t>
  </si>
  <si>
    <t>Accessories</t>
  </si>
  <si>
    <t>Software</t>
  </si>
  <si>
    <t>HLOOKUP EXERCISE AREA</t>
  </si>
  <si>
    <t>Ex5 T1 — Laptops in June:</t>
  </si>
  <si>
    <t>In N4: =HLOOKUP("Jun", $A$3:$M$7, 2, FALSE)</t>
  </si>
  <si>
    <t>Ex5 T2 — Tablets in September:</t>
  </si>
  <si>
    <t>In N5: =HLOOKUP("Sep", $A$3:$M$7, 4, FALSE)</t>
  </si>
  <si>
    <t>Ex5 T3 — Dynamic month lookup:</t>
  </si>
  <si>
    <t>Type a month name in Q3. In Q4: =HLOOKUP(Q3,$A$3:$M$7,3,FALSE) (Mobiles price)</t>
  </si>
  <si>
    <t>Ex5 T4 — Error handling:</t>
  </si>
  <si>
    <t>Row index: Laptops=2, Mobiles=3, Tablets=4, Accessories=5, Software=6. Count from ROW 1 of table (the month header row).</t>
  </si>
  <si>
    <t>Manager_Table — MATCH and INDEX+MATCH Practice</t>
  </si>
  <si>
    <t>LEFT lookup: find Manager Name given a Region. Two-way: find any field by any identifier.</t>
  </si>
  <si>
    <t>Manager_Name</t>
  </si>
  <si>
    <t>Dept_Head</t>
  </si>
  <si>
    <t>Phone_Ext</t>
  </si>
  <si>
    <t>1001</t>
  </si>
  <si>
    <t>1002</t>
  </si>
  <si>
    <t>1003</t>
  </si>
  <si>
    <t>1004</t>
  </si>
  <si>
    <t>1005</t>
  </si>
  <si>
    <t>M006</t>
  </si>
  <si>
    <t>1006</t>
  </si>
  <si>
    <t>M007</t>
  </si>
  <si>
    <t>1007</t>
  </si>
  <si>
    <t>M008</t>
  </si>
  <si>
    <t>1008</t>
  </si>
  <si>
    <t>M009</t>
  </si>
  <si>
    <t>1009</t>
  </si>
  <si>
    <t>M010</t>
  </si>
  <si>
    <t>1010</t>
  </si>
  <si>
    <t>EXERCISE AREA — MATCH, INDEX, INDEX+MATCH (left and right lookup)</t>
  </si>
  <si>
    <t>Ex6 — MATCH (find position):</t>
  </si>
  <si>
    <t>Ex7 — INDEX (get value at position):</t>
  </si>
  <si>
    <t>Ex8 — INDEX+MATCH (right lookup):</t>
  </si>
  <si>
    <t>Ex8 — LEFT lookup (value left of key):</t>
  </si>
  <si>
    <t>Ex8 — Dynamic two-way:</t>
  </si>
  <si>
    <t>Type a Manager_ID in G4. Formula in G5: =INDEX(A4:E13,MATCH(G4,A4:A13,0),MATCH(G6,A3:E3,0))</t>
  </si>
  <si>
    <t>Part III — Date &amp; Time Dataset  |  TRANSPOSE, TODAY/NOW, DATE, DATEDIF, EOMONTH, NETWORKDAYS, WORKDAY, WEEKDAY, TEXT</t>
  </si>
  <si>
    <t>Columns A-H are the data source. Exercise formula columns (I onwards) are yellow-headed.</t>
  </si>
  <si>
    <t>Project_Deadline</t>
  </si>
  <si>
    <t>Last_Review_Date</t>
  </si>
  <si>
    <t>Join Month</t>
  </si>
  <si>
    <t>Join Day</t>
  </si>
  <si>
    <t>New This Year?</t>
  </si>
  <si>
    <t>Days Since Review</t>
  </si>
  <si>
    <t>Years Service</t>
  </si>
  <si>
    <t>Full Tenure</t>
  </si>
  <si>
    <t>Sr/Jr Flag</t>
  </si>
  <si>
    <t>Days to Deadline</t>
  </si>
  <si>
    <t>Deadline Status</t>
  </si>
  <si>
    <t>Working Days</t>
  </si>
  <si>
    <t>Prep Start Date</t>
  </si>
  <si>
    <t>Day of Week</t>
  </si>
  <si>
    <t>Join Date Text</t>
  </si>
  <si>
    <t>EXERCISE INSTRUCTIONS — Type your date formulas in the purple-headed columns above</t>
  </si>
  <si>
    <t>Ex10 T1 — TRANSPOSE:</t>
  </si>
  <si>
    <t>Navigate to the Monthly_Sales_Table below. In cell X4: =TRANSPOSE(monthly_table_range) — spills automatically (Excel 365).</t>
  </si>
  <si>
    <t>Ex11 T1 — TODAY/NOW:</t>
  </si>
  <si>
    <t>In empty cells: =TODAY() and =NOW(). Also: ="Report: "&amp;TEXT(TODAY(),"DD-MMM-YYYY")</t>
  </si>
  <si>
    <t>Ex11 T2 — YEAR/MONTH/DAY (I,J,K):</t>
  </si>
  <si>
    <t>Ex11 T3 — New This Year (col L):</t>
  </si>
  <si>
    <t>Ex11 T5 — Days Since Review (col M):</t>
  </si>
  <si>
    <t>Ex12 T1 — Years Service (col N):</t>
  </si>
  <si>
    <t>Ex12 T2 — Full Tenure (col O):</t>
  </si>
  <si>
    <t>Ex12 T3 — Senior/Junior (col P):</t>
  </si>
  <si>
    <t>Ex12 T4 — Days to Deadline (col Q):</t>
  </si>
  <si>
    <t>Ex12 T4 — Status Flag (col R):</t>
  </si>
  <si>
    <t>Ex13 T1 — Working Days (col S):</t>
  </si>
  <si>
    <t>Ex13 T4 — Prep Start (col T):</t>
  </si>
  <si>
    <t>Ex13 T5 — Day Name (col U):</t>
  </si>
  <si>
    <t>Ex14 T2 — Join Date Text (col V):</t>
  </si>
  <si>
    <t>Monthly_Sales_Table — Source for TRANSPOSE Exercise (horizontal format)</t>
  </si>
  <si>
    <t>Region / Month</t>
  </si>
  <si>
    <t>CAPSTONE DASHBOARD — Complete All 10 Formulas Using Functions from All 3 Parts</t>
  </si>
  <si>
    <t>Each formula integrates concepts from Part I, II, and III. Yellow = task. Green = your formula area.</t>
  </si>
  <si>
    <t>Your Formula (type here)</t>
  </si>
  <si>
    <t>Question / Expected Formula</t>
  </si>
  <si>
    <t>C1 — COUNTIFS (Part I):</t>
  </si>
  <si>
    <t>C2 — SUMIFS (Part I):</t>
  </si>
  <si>
    <t>C3 — AVERAGEIFS (Part I):</t>
  </si>
  <si>
    <t>C4 — XLOOKUP (Part II):</t>
  </si>
  <si>
    <t>C5 — INDEX+MATCH (Part II):</t>
  </si>
  <si>
    <t>C6 — COUNTIF+DATEDIF (Part III):</t>
  </si>
  <si>
    <t>C7 — NETWORKDAYS (Part III):</t>
  </si>
  <si>
    <t>C8 — TEXT+TODAY (Part III):</t>
  </si>
  <si>
    <t>C9 — SUMPRODUCT+YEAR (Part I+III):</t>
  </si>
  <si>
    <t>C10 — INDEX+MATCH+MAX (Part II+III):</t>
  </si>
  <si>
    <t>--- REFERENCE ---</t>
  </si>
  <si>
    <t>Employee ID to Lookup:</t>
  </si>
  <si>
    <t>← Change this ID to test C4 and C5</t>
  </si>
  <si>
    <t>REMINDER: C4 and C5 reference cell B8 (the 'Employee ID to Lookup' row). Change B8 to any valid Emp_ID to test different lookups.</t>
  </si>
  <si>
    <t>#ERROR!</t>
  </si>
  <si>
    <t>June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</si>
</sst>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yy"/>
  </numFmts>
  <fonts count="24" x14ac:knownFonts="1">
    <font>
      <sz val="11"/>
      <color theme="1"/>
      <name val="Calibri"/>
      <scheme val="minor"/>
    </font>
    <font>
      <b/>
      <sz val="13"/>
      <color rgb="FFFFFFFF"/>
      <name val="Arial"/>
    </font>
    <font>
      <sz val="11"/>
      <name val="Calibri"/>
    </font>
    <font>
      <sz val="10"/>
      <color rgb="FFFFFFFF"/>
      <name val="Arial"/>
    </font>
    <font>
      <b/>
      <sz val="10"/>
      <color rgb="FF92400E"/>
      <name val="Arial"/>
    </font>
    <font>
      <sz val="10"/>
      <color rgb="FF92400E"/>
      <name val="Arial"/>
    </font>
    <font>
      <b/>
      <sz val="10"/>
      <color rgb="FF15803D"/>
      <name val="Arial"/>
    </font>
    <font>
      <sz val="10"/>
      <color rgb="FF15803D"/>
      <name val="Arial"/>
    </font>
    <font>
      <b/>
      <sz val="10"/>
      <color rgb="FF1D4ED8"/>
      <name val="Arial"/>
    </font>
    <font>
      <sz val="10"/>
      <color rgb="FF1D4ED8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B91C1C"/>
      <name val="Arial"/>
    </font>
    <font>
      <sz val="10"/>
      <color rgb="FFB91C1C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11"/>
      <color theme="1"/>
      <name val="Calibri"/>
    </font>
    <font>
      <i/>
      <sz val="8"/>
      <color rgb="FF92400E"/>
      <name val="Arial"/>
    </font>
    <font>
      <b/>
      <sz val="11"/>
      <color rgb="FFFFFFFF"/>
      <name val="Arial"/>
    </font>
    <font>
      <b/>
      <sz val="9"/>
      <color rgb="FF92400E"/>
      <name val="Arial"/>
    </font>
    <font>
      <sz val="9"/>
      <color rgb="FF15803D"/>
      <name val="Arial"/>
    </font>
    <font>
      <sz val="9"/>
      <color rgb="FF1D4ED8"/>
      <name val="Arial"/>
    </font>
    <font>
      <i/>
      <sz val="9"/>
      <color rgb="FF1D4ED8"/>
      <name val="Arial"/>
    </font>
    <font>
      <i/>
      <sz val="9"/>
      <color rgb="FF92400E"/>
      <name val="Arial"/>
    </font>
  </fonts>
  <fills count="20">
    <fill>
      <patternFill patternType="none"/>
    </fill>
    <fill>
      <patternFill patternType="gray125"/>
    </fill>
    <fill>
      <patternFill patternType="solid">
        <fgColor rgb="FF1E3A5F"/>
        <bgColor rgb="FF1E3A5F"/>
      </patternFill>
    </fill>
    <fill>
      <patternFill patternType="solid">
        <fgColor rgb="FF1D4ED8"/>
        <bgColor rgb="FF1D4ED8"/>
      </patternFill>
    </fill>
    <fill>
      <patternFill patternType="solid">
        <fgColor rgb="FFFEF9C3"/>
        <bgColor rgb="FFFEF9C3"/>
      </patternFill>
    </fill>
    <fill>
      <patternFill patternType="solid">
        <fgColor rgb="FFDCFCE7"/>
        <bgColor rgb="FFDCFCE7"/>
      </patternFill>
    </fill>
    <fill>
      <patternFill patternType="solid">
        <fgColor rgb="FFEFF6FF"/>
        <bgColor rgb="FFEFF6FF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EEF3F9"/>
        <bgColor rgb="FFEEF3F9"/>
      </patternFill>
    </fill>
    <fill>
      <patternFill patternType="solid">
        <fgColor rgb="FF6D28D9"/>
        <bgColor rgb="FF6D28D9"/>
      </patternFill>
    </fill>
    <fill>
      <patternFill patternType="solid">
        <fgColor rgb="FFFFFFF0"/>
        <bgColor rgb="FFFFFFF0"/>
      </patternFill>
    </fill>
    <fill>
      <patternFill patternType="solid">
        <fgColor rgb="FFB91C1C"/>
        <bgColor rgb="FFB91C1C"/>
      </patternFill>
    </fill>
    <fill>
      <patternFill patternType="solid">
        <fgColor rgb="FF1E40AF"/>
        <bgColor rgb="FF1E40AF"/>
      </patternFill>
    </fill>
    <fill>
      <patternFill patternType="solid">
        <fgColor rgb="FF7C3AED"/>
        <bgColor rgb="FF7C3AED"/>
      </patternFill>
    </fill>
    <fill>
      <patternFill patternType="solid">
        <fgColor rgb="FFC2410C"/>
        <bgColor rgb="FFC2410C"/>
      </patternFill>
    </fill>
    <fill>
      <patternFill patternType="solid">
        <fgColor rgb="FF0F766E"/>
        <bgColor rgb="FF0F766E"/>
      </patternFill>
    </fill>
    <fill>
      <patternFill patternType="solid">
        <fgColor rgb="FF15803D"/>
        <bgColor rgb="FF15803D"/>
      </patternFill>
    </fill>
    <fill>
      <patternFill patternType="solid">
        <fgColor rgb="FFD97706"/>
        <bgColor rgb="FFD97706"/>
      </patternFill>
    </fill>
    <fill>
      <patternFill patternType="solid">
        <fgColor rgb="FFF0FFF4"/>
        <bgColor rgb="FFF0FFF4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4" fillId="4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left" vertical="center" wrapText="1"/>
    </xf>
    <xf numFmtId="0" fontId="8" fillId="6" borderId="3" xfId="0" applyFont="1" applyFill="1" applyBorder="1" applyAlignment="1">
      <alignment horizontal="left" vertical="center" wrapText="1"/>
    </xf>
    <xf numFmtId="0" fontId="9" fillId="6" borderId="3" xfId="0" applyFont="1" applyFill="1" applyBorder="1" applyAlignment="1">
      <alignment horizontal="left" vertical="center" wrapText="1"/>
    </xf>
    <xf numFmtId="0" fontId="10" fillId="7" borderId="3" xfId="0" applyFont="1" applyFill="1" applyBorder="1" applyAlignment="1">
      <alignment horizontal="left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2" fillId="8" borderId="3" xfId="0" applyFont="1" applyFill="1" applyBorder="1" applyAlignment="1">
      <alignment horizontal="left" vertical="center" wrapText="1"/>
    </xf>
    <xf numFmtId="0" fontId="13" fillId="8" borderId="3" xfId="0" applyFont="1" applyFill="1" applyBorder="1" applyAlignment="1">
      <alignment horizontal="left" vertical="center" wrapText="1"/>
    </xf>
    <xf numFmtId="0" fontId="14" fillId="2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left" vertical="center" wrapText="1"/>
    </xf>
    <xf numFmtId="0" fontId="15" fillId="10" borderId="3" xfId="0" applyFont="1" applyFill="1" applyBorder="1" applyAlignment="1">
      <alignment horizontal="center" vertical="center" wrapText="1"/>
    </xf>
    <xf numFmtId="0" fontId="11" fillId="9" borderId="3" xfId="0" applyFont="1" applyFill="1" applyBorder="1" applyAlignment="1">
      <alignment horizontal="center" vertical="center" wrapText="1"/>
    </xf>
    <xf numFmtId="9" fontId="11" fillId="9" borderId="3" xfId="0" applyNumberFormat="1" applyFont="1" applyFill="1" applyBorder="1" applyAlignment="1">
      <alignment horizontal="left" vertical="center" wrapText="1"/>
    </xf>
    <xf numFmtId="3" fontId="11" fillId="9" borderId="3" xfId="0" applyNumberFormat="1" applyFont="1" applyFill="1" applyBorder="1" applyAlignment="1">
      <alignment horizontal="left" vertical="center" wrapText="1"/>
    </xf>
    <xf numFmtId="0" fontId="11" fillId="11" borderId="3" xfId="0" applyFont="1" applyFill="1" applyBorder="1" applyAlignment="1">
      <alignment horizontal="left" vertical="center" wrapText="1"/>
    </xf>
    <xf numFmtId="0" fontId="16" fillId="11" borderId="3" xfId="0" applyFont="1" applyFill="1" applyBorder="1"/>
    <xf numFmtId="0" fontId="11" fillId="7" borderId="3" xfId="0" applyFont="1" applyFill="1" applyBorder="1" applyAlignment="1">
      <alignment horizontal="center" vertical="center" wrapText="1"/>
    </xf>
    <xf numFmtId="9" fontId="11" fillId="7" borderId="3" xfId="0" applyNumberFormat="1" applyFont="1" applyFill="1" applyBorder="1" applyAlignment="1">
      <alignment horizontal="left" vertical="center" wrapText="1"/>
    </xf>
    <xf numFmtId="3" fontId="11" fillId="7" borderId="3" xfId="0" applyNumberFormat="1" applyFont="1" applyFill="1" applyBorder="1" applyAlignment="1">
      <alignment horizontal="left" vertical="center" wrapText="1"/>
    </xf>
    <xf numFmtId="0" fontId="17" fillId="4" borderId="3" xfId="0" applyFont="1" applyFill="1" applyBorder="1" applyAlignment="1">
      <alignment horizontal="left" vertical="center" wrapText="1"/>
    </xf>
    <xf numFmtId="0" fontId="19" fillId="4" borderId="3" xfId="0" applyFont="1" applyFill="1" applyBorder="1" applyAlignment="1">
      <alignment horizontal="left" vertical="center" wrapText="1"/>
    </xf>
    <xf numFmtId="0" fontId="20" fillId="5" borderId="3" xfId="0" applyFont="1" applyFill="1" applyBorder="1" applyAlignment="1">
      <alignment horizontal="left" vertical="center" wrapText="1"/>
    </xf>
    <xf numFmtId="0" fontId="21" fillId="6" borderId="3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22" fillId="6" borderId="3" xfId="0" applyFont="1" applyFill="1" applyBorder="1" applyAlignment="1">
      <alignment horizontal="left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14" fillId="13" borderId="3" xfId="0" applyFont="1" applyFill="1" applyBorder="1" applyAlignment="1">
      <alignment horizontal="center" vertical="center" wrapText="1"/>
    </xf>
    <xf numFmtId="0" fontId="14" fillId="10" borderId="3" xfId="0" applyFont="1" applyFill="1" applyBorder="1" applyAlignment="1">
      <alignment horizontal="center" vertical="center" wrapText="1"/>
    </xf>
    <xf numFmtId="0" fontId="15" fillId="14" borderId="3" xfId="0" applyFont="1" applyFill="1" applyBorder="1" applyAlignment="1">
      <alignment horizontal="center" vertical="center" wrapText="1"/>
    </xf>
    <xf numFmtId="0" fontId="15" fillId="15" borderId="3" xfId="0" applyFont="1" applyFill="1" applyBorder="1" applyAlignment="1">
      <alignment horizontal="center" vertical="center" wrapText="1"/>
    </xf>
    <xf numFmtId="0" fontId="15" fillId="16" borderId="3" xfId="0" applyFont="1" applyFill="1" applyBorder="1" applyAlignment="1">
      <alignment horizontal="center" vertical="center" wrapText="1"/>
    </xf>
    <xf numFmtId="0" fontId="15" fillId="17" borderId="3" xfId="0" applyFont="1" applyFill="1" applyBorder="1" applyAlignment="1">
      <alignment horizontal="center" vertical="center" wrapText="1"/>
    </xf>
    <xf numFmtId="0" fontId="15" fillId="18" borderId="3" xfId="0" applyFont="1" applyFill="1" applyBorder="1" applyAlignment="1">
      <alignment horizontal="center" vertical="center" wrapText="1"/>
    </xf>
    <xf numFmtId="3" fontId="11" fillId="9" borderId="3" xfId="0" applyNumberFormat="1" applyFont="1" applyFill="1" applyBorder="1" applyAlignment="1">
      <alignment horizontal="center" vertical="center" wrapText="1"/>
    </xf>
    <xf numFmtId="164" fontId="11" fillId="9" borderId="3" xfId="0" applyNumberFormat="1" applyFont="1" applyFill="1" applyBorder="1" applyAlignment="1">
      <alignment horizontal="left" vertical="center" wrapText="1"/>
    </xf>
    <xf numFmtId="0" fontId="4" fillId="4" borderId="3" xfId="0" applyFont="1" applyFill="1" applyBorder="1" applyAlignment="1">
      <alignment horizontal="center" vertical="center" wrapText="1"/>
    </xf>
    <xf numFmtId="3" fontId="11" fillId="7" borderId="3" xfId="0" applyNumberFormat="1" applyFont="1" applyFill="1" applyBorder="1" applyAlignment="1">
      <alignment horizontal="center" vertical="center" wrapText="1"/>
    </xf>
    <xf numFmtId="164" fontId="11" fillId="7" borderId="3" xfId="0" applyNumberFormat="1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20" fillId="19" borderId="3" xfId="0" applyFont="1" applyFill="1" applyBorder="1" applyAlignment="1">
      <alignment horizontal="left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3" fillId="3" borderId="1" xfId="0" applyFont="1" applyFill="1" applyBorder="1" applyAlignment="1">
      <alignment horizontal="center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2" fillId="0" borderId="4" xfId="0" applyFont="1" applyBorder="1"/>
    <xf numFmtId="0" fontId="18" fillId="10" borderId="1" xfId="0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0" fontId="2" fillId="0" borderId="5" xfId="0" applyFont="1" applyBorder="1"/>
    <xf numFmtId="0" fontId="1" fillId="13" borderId="1" xfId="0" applyFont="1" applyFill="1" applyBorder="1" applyAlignment="1">
      <alignment horizontal="center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1" fillId="16" borderId="1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8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0"/>
  <sheetViews>
    <sheetView showGridLines="0" topLeftCell="A5" workbookViewId="0">
      <selection sqref="A1:B1"/>
    </sheetView>
  </sheetViews>
  <sheetFormatPr defaultColWidth="14.42578125" defaultRowHeight="15" customHeight="1" x14ac:dyDescent="0.25"/>
  <cols>
    <col min="1" max="1" width="28" customWidth="1"/>
    <col min="2" max="2" width="32" customWidth="1"/>
    <col min="3" max="3" width="50" customWidth="1"/>
    <col min="4" max="26" width="8.7109375" customWidth="1"/>
  </cols>
  <sheetData>
    <row r="1" spans="1:3" ht="33.75" customHeight="1" x14ac:dyDescent="0.25">
      <c r="A1" s="45" t="s">
        <v>0</v>
      </c>
      <c r="B1" s="46"/>
    </row>
    <row r="2" spans="1:3" ht="19.5" customHeight="1" x14ac:dyDescent="0.25">
      <c r="A2" s="47" t="s">
        <v>1</v>
      </c>
      <c r="B2" s="46"/>
    </row>
    <row r="4" spans="1:3" ht="19.5" customHeight="1" x14ac:dyDescent="0.25">
      <c r="A4" s="1" t="s">
        <v>2</v>
      </c>
      <c r="B4" s="2" t="s">
        <v>3</v>
      </c>
    </row>
    <row r="5" spans="1:3" ht="19.5" customHeight="1" x14ac:dyDescent="0.25">
      <c r="A5" s="3" t="s">
        <v>4</v>
      </c>
      <c r="B5" s="4" t="s">
        <v>5</v>
      </c>
    </row>
    <row r="6" spans="1:3" ht="19.5" customHeight="1" x14ac:dyDescent="0.25">
      <c r="A6" s="5" t="s">
        <v>6</v>
      </c>
      <c r="B6" s="6" t="s">
        <v>7</v>
      </c>
    </row>
    <row r="7" spans="1:3" ht="19.5" customHeight="1" x14ac:dyDescent="0.25">
      <c r="A7" s="7" t="s">
        <v>8</v>
      </c>
      <c r="B7" s="8" t="s">
        <v>9</v>
      </c>
    </row>
    <row r="8" spans="1:3" ht="19.5" customHeight="1" x14ac:dyDescent="0.25">
      <c r="A8" s="9" t="s">
        <v>10</v>
      </c>
      <c r="B8" s="10" t="s">
        <v>11</v>
      </c>
    </row>
    <row r="10" spans="1:3" ht="24" customHeight="1" x14ac:dyDescent="0.25">
      <c r="A10" s="11" t="s">
        <v>12</v>
      </c>
      <c r="B10" s="11" t="s">
        <v>13</v>
      </c>
      <c r="C10" s="11" t="s">
        <v>14</v>
      </c>
    </row>
    <row r="11" spans="1:3" ht="21.75" customHeight="1" x14ac:dyDescent="0.25">
      <c r="A11" s="12" t="s">
        <v>15</v>
      </c>
      <c r="B11" s="12" t="s">
        <v>16</v>
      </c>
      <c r="C11" s="12" t="s">
        <v>17</v>
      </c>
    </row>
    <row r="12" spans="1:3" ht="21.75" customHeight="1" x14ac:dyDescent="0.25">
      <c r="A12" s="8" t="s">
        <v>18</v>
      </c>
      <c r="B12" s="8" t="s">
        <v>19</v>
      </c>
      <c r="C12" s="8" t="s">
        <v>20</v>
      </c>
    </row>
    <row r="13" spans="1:3" ht="21.75" customHeight="1" x14ac:dyDescent="0.25">
      <c r="A13" s="12" t="s">
        <v>21</v>
      </c>
      <c r="B13" s="12" t="s">
        <v>22</v>
      </c>
      <c r="C13" s="12" t="s">
        <v>23</v>
      </c>
    </row>
    <row r="14" spans="1:3" ht="21.75" customHeight="1" x14ac:dyDescent="0.25">
      <c r="A14" s="8" t="s">
        <v>24</v>
      </c>
      <c r="B14" s="8" t="s">
        <v>25</v>
      </c>
      <c r="C14" s="8" t="s">
        <v>26</v>
      </c>
    </row>
    <row r="15" spans="1:3" ht="21.75" customHeight="1" x14ac:dyDescent="0.25">
      <c r="A15" s="12" t="s">
        <v>27</v>
      </c>
      <c r="B15" s="12" t="s">
        <v>28</v>
      </c>
      <c r="C15" s="12" t="s">
        <v>29</v>
      </c>
    </row>
    <row r="16" spans="1:3" ht="21.75" customHeight="1" x14ac:dyDescent="0.25">
      <c r="A16" s="8" t="s">
        <v>30</v>
      </c>
      <c r="B16" s="8" t="s">
        <v>31</v>
      </c>
      <c r="C16" s="8" t="s">
        <v>32</v>
      </c>
    </row>
    <row r="17" spans="1:3" ht="21.75" customHeight="1" x14ac:dyDescent="0.25">
      <c r="A17" s="12" t="s">
        <v>33</v>
      </c>
      <c r="B17" s="12" t="s">
        <v>34</v>
      </c>
      <c r="C17" s="12" t="s">
        <v>35</v>
      </c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2">
    <mergeCell ref="A1:B1"/>
    <mergeCell ref="A2:B2"/>
  </mergeCells>
  <pageMargins left="0.75" right="0.75" top="1" bottom="1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00"/>
  <sheetViews>
    <sheetView showGridLines="0" topLeftCell="A12" workbookViewId="0">
      <selection activeCell="C4" sqref="C4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2" customWidth="1"/>
    <col min="4" max="4" width="8" customWidth="1"/>
    <col min="5" max="5" width="14" customWidth="1"/>
    <col min="6" max="6" width="12" customWidth="1"/>
    <col min="7" max="9" width="10" customWidth="1"/>
    <col min="10" max="17" width="20" customWidth="1"/>
    <col min="18" max="26" width="8.7109375" customWidth="1"/>
  </cols>
  <sheetData>
    <row r="1" spans="1:17" ht="33.75" customHeight="1" x14ac:dyDescent="0.25">
      <c r="A1" s="45" t="s">
        <v>36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6"/>
    </row>
    <row r="2" spans="1:17" ht="19.5" customHeight="1" x14ac:dyDescent="0.25">
      <c r="A2" s="47" t="s">
        <v>37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6"/>
    </row>
    <row r="3" spans="1:17" ht="24" customHeight="1" x14ac:dyDescent="0.25">
      <c r="A3" s="11" t="s">
        <v>38</v>
      </c>
      <c r="B3" s="11" t="s">
        <v>39</v>
      </c>
      <c r="C3" s="11" t="s">
        <v>40</v>
      </c>
      <c r="D3" s="11" t="s">
        <v>41</v>
      </c>
      <c r="E3" s="11" t="s">
        <v>42</v>
      </c>
      <c r="F3" s="11" t="s">
        <v>43</v>
      </c>
      <c r="G3" s="11" t="s">
        <v>44</v>
      </c>
      <c r="H3" s="11" t="s">
        <v>45</v>
      </c>
      <c r="I3" s="11" t="s">
        <v>46</v>
      </c>
      <c r="J3" s="13" t="s">
        <v>47</v>
      </c>
      <c r="K3" s="13" t="s">
        <v>48</v>
      </c>
      <c r="L3" s="13" t="s">
        <v>49</v>
      </c>
      <c r="M3" s="13" t="s">
        <v>50</v>
      </c>
      <c r="N3" s="13" t="s">
        <v>51</v>
      </c>
      <c r="O3" s="13" t="s">
        <v>52</v>
      </c>
      <c r="P3" s="13" t="s">
        <v>53</v>
      </c>
      <c r="Q3" s="13" t="s">
        <v>54</v>
      </c>
    </row>
    <row r="4" spans="1:17" ht="18" customHeight="1" x14ac:dyDescent="0.25">
      <c r="A4" s="14" t="s">
        <v>55</v>
      </c>
      <c r="B4" s="12" t="s">
        <v>56</v>
      </c>
      <c r="C4" s="12" t="s">
        <v>57</v>
      </c>
      <c r="D4" s="14">
        <v>82</v>
      </c>
      <c r="E4" s="15">
        <v>0.66</v>
      </c>
      <c r="F4" s="16">
        <v>54048</v>
      </c>
      <c r="G4" s="14">
        <v>2019</v>
      </c>
      <c r="H4" s="14" t="s">
        <v>58</v>
      </c>
      <c r="I4" s="12" t="s">
        <v>59</v>
      </c>
      <c r="J4" s="17"/>
      <c r="K4" s="17"/>
      <c r="L4" s="18"/>
      <c r="M4" s="18"/>
      <c r="N4" s="18"/>
      <c r="O4" s="18"/>
      <c r="P4" s="18"/>
      <c r="Q4" s="18"/>
    </row>
    <row r="5" spans="1:17" ht="18" customHeight="1" x14ac:dyDescent="0.25">
      <c r="A5" s="19" t="s">
        <v>60</v>
      </c>
      <c r="B5" s="8" t="s">
        <v>61</v>
      </c>
      <c r="C5" s="8" t="s">
        <v>62</v>
      </c>
      <c r="D5" s="19">
        <v>48</v>
      </c>
      <c r="E5" s="20">
        <v>0.88</v>
      </c>
      <c r="F5" s="21">
        <v>29395</v>
      </c>
      <c r="G5" s="19">
        <v>2022</v>
      </c>
      <c r="H5" s="19" t="s">
        <v>63</v>
      </c>
      <c r="I5" s="8" t="s">
        <v>59</v>
      </c>
      <c r="J5" s="17"/>
      <c r="K5" s="17"/>
      <c r="L5" s="18"/>
      <c r="M5" s="18"/>
      <c r="N5" s="18"/>
      <c r="O5" s="18"/>
      <c r="P5" s="18"/>
      <c r="Q5" s="18"/>
    </row>
    <row r="6" spans="1:17" ht="18" customHeight="1" x14ac:dyDescent="0.25">
      <c r="A6" s="14" t="s">
        <v>64</v>
      </c>
      <c r="B6" s="12" t="s">
        <v>65</v>
      </c>
      <c r="C6" s="12" t="s">
        <v>66</v>
      </c>
      <c r="D6" s="14">
        <v>47</v>
      </c>
      <c r="E6" s="15">
        <v>0.7</v>
      </c>
      <c r="F6" s="16">
        <v>84237</v>
      </c>
      <c r="G6" s="14">
        <v>2022</v>
      </c>
      <c r="H6" s="14" t="s">
        <v>67</v>
      </c>
      <c r="I6" s="12" t="s">
        <v>59</v>
      </c>
      <c r="J6" s="17"/>
      <c r="K6" s="17"/>
      <c r="L6" s="18"/>
      <c r="M6" s="18"/>
      <c r="N6" s="18"/>
      <c r="O6" s="18"/>
      <c r="P6" s="18"/>
      <c r="Q6" s="18"/>
    </row>
    <row r="7" spans="1:17" ht="18" customHeight="1" x14ac:dyDescent="0.25">
      <c r="A7" s="19" t="s">
        <v>68</v>
      </c>
      <c r="B7" s="8" t="s">
        <v>69</v>
      </c>
      <c r="C7" s="8" t="s">
        <v>70</v>
      </c>
      <c r="D7" s="19">
        <v>87</v>
      </c>
      <c r="E7" s="20">
        <v>0.87</v>
      </c>
      <c r="F7" s="21">
        <v>72987</v>
      </c>
      <c r="G7" s="19">
        <v>2019</v>
      </c>
      <c r="H7" s="19" t="s">
        <v>71</v>
      </c>
      <c r="I7" s="8" t="s">
        <v>59</v>
      </c>
      <c r="J7" s="17"/>
      <c r="K7" s="17"/>
      <c r="L7" s="18"/>
      <c r="M7" s="18"/>
      <c r="N7" s="18"/>
      <c r="O7" s="18"/>
      <c r="P7" s="18"/>
      <c r="Q7" s="18"/>
    </row>
    <row r="8" spans="1:17" ht="18" customHeight="1" x14ac:dyDescent="0.25">
      <c r="A8" s="14" t="s">
        <v>72</v>
      </c>
      <c r="B8" s="12" t="s">
        <v>73</v>
      </c>
      <c r="C8" s="12" t="s">
        <v>74</v>
      </c>
      <c r="D8" s="14">
        <v>93</v>
      </c>
      <c r="E8" s="15">
        <v>0.95</v>
      </c>
      <c r="F8" s="16">
        <v>38926</v>
      </c>
      <c r="G8" s="14">
        <v>2023</v>
      </c>
      <c r="H8" s="14" t="s">
        <v>58</v>
      </c>
      <c r="I8" s="12" t="s">
        <v>59</v>
      </c>
      <c r="J8" s="17"/>
      <c r="K8" s="17"/>
      <c r="L8" s="18"/>
      <c r="M8" s="18"/>
      <c r="N8" s="18"/>
      <c r="O8" s="18"/>
      <c r="P8" s="18"/>
      <c r="Q8" s="18"/>
    </row>
    <row r="9" spans="1:17" ht="18" customHeight="1" x14ac:dyDescent="0.25">
      <c r="A9" s="19" t="s">
        <v>75</v>
      </c>
      <c r="B9" s="8" t="s">
        <v>76</v>
      </c>
      <c r="C9" s="8" t="s">
        <v>57</v>
      </c>
      <c r="D9" s="19">
        <v>51</v>
      </c>
      <c r="E9" s="20">
        <v>0.7</v>
      </c>
      <c r="F9" s="21">
        <v>62118</v>
      </c>
      <c r="G9" s="19">
        <v>2018</v>
      </c>
      <c r="H9" s="19" t="s">
        <v>63</v>
      </c>
      <c r="I9" s="8" t="s">
        <v>59</v>
      </c>
      <c r="J9" s="17"/>
      <c r="K9" s="17"/>
      <c r="L9" s="18"/>
      <c r="M9" s="18"/>
      <c r="N9" s="18"/>
      <c r="O9" s="18"/>
      <c r="P9" s="18"/>
      <c r="Q9" s="18"/>
    </row>
    <row r="10" spans="1:17" ht="18" customHeight="1" x14ac:dyDescent="0.25">
      <c r="A10" s="14" t="s">
        <v>77</v>
      </c>
      <c r="B10" s="12" t="s">
        <v>78</v>
      </c>
      <c r="C10" s="12" t="s">
        <v>62</v>
      </c>
      <c r="D10" s="14">
        <v>64</v>
      </c>
      <c r="E10" s="15">
        <v>0.94</v>
      </c>
      <c r="F10" s="16">
        <v>52671</v>
      </c>
      <c r="G10" s="14">
        <v>2024</v>
      </c>
      <c r="H10" s="14" t="s">
        <v>67</v>
      </c>
      <c r="I10" s="12" t="s">
        <v>59</v>
      </c>
      <c r="J10" s="17"/>
      <c r="K10" s="17"/>
      <c r="L10" s="18"/>
      <c r="M10" s="18"/>
      <c r="N10" s="18"/>
      <c r="O10" s="18"/>
      <c r="P10" s="18"/>
      <c r="Q10" s="18"/>
    </row>
    <row r="11" spans="1:17" ht="18" customHeight="1" x14ac:dyDescent="0.25">
      <c r="A11" s="19" t="s">
        <v>79</v>
      </c>
      <c r="B11" s="8" t="s">
        <v>80</v>
      </c>
      <c r="C11" s="8" t="s">
        <v>66</v>
      </c>
      <c r="D11" s="19">
        <v>76</v>
      </c>
      <c r="E11" s="20">
        <v>0.67</v>
      </c>
      <c r="F11" s="21">
        <v>67615</v>
      </c>
      <c r="G11" s="19">
        <v>2018</v>
      </c>
      <c r="H11" s="19" t="s">
        <v>71</v>
      </c>
      <c r="I11" s="8" t="s">
        <v>81</v>
      </c>
      <c r="J11" s="17"/>
      <c r="K11" s="17"/>
      <c r="L11" s="18"/>
      <c r="M11" s="18"/>
      <c r="N11" s="18"/>
      <c r="O11" s="18"/>
      <c r="P11" s="18"/>
      <c r="Q11" s="18"/>
    </row>
    <row r="12" spans="1:17" ht="18" customHeight="1" x14ac:dyDescent="0.25">
      <c r="A12" s="14" t="s">
        <v>82</v>
      </c>
      <c r="B12" s="12" t="s">
        <v>83</v>
      </c>
      <c r="C12" s="12" t="s">
        <v>70</v>
      </c>
      <c r="D12" s="14">
        <v>81</v>
      </c>
      <c r="E12" s="15">
        <v>0.96</v>
      </c>
      <c r="F12" s="16">
        <v>65400</v>
      </c>
      <c r="G12" s="14">
        <v>2022</v>
      </c>
      <c r="H12" s="14" t="s">
        <v>58</v>
      </c>
      <c r="I12" s="12" t="s">
        <v>81</v>
      </c>
      <c r="J12" s="17"/>
      <c r="K12" s="17"/>
      <c r="L12" s="18"/>
      <c r="M12" s="18"/>
      <c r="N12" s="18"/>
      <c r="O12" s="18"/>
      <c r="P12" s="18"/>
      <c r="Q12" s="18"/>
    </row>
    <row r="13" spans="1:17" ht="18" customHeight="1" x14ac:dyDescent="0.25">
      <c r="A13" s="19" t="s">
        <v>84</v>
      </c>
      <c r="B13" s="8" t="s">
        <v>85</v>
      </c>
      <c r="C13" s="8" t="s">
        <v>74</v>
      </c>
      <c r="D13" s="19">
        <v>44</v>
      </c>
      <c r="E13" s="20">
        <v>0.87</v>
      </c>
      <c r="F13" s="21">
        <v>55930</v>
      </c>
      <c r="G13" s="19">
        <v>2018</v>
      </c>
      <c r="H13" s="19" t="s">
        <v>63</v>
      </c>
      <c r="I13" s="8" t="s">
        <v>59</v>
      </c>
      <c r="J13" s="17"/>
      <c r="K13" s="17"/>
      <c r="L13" s="18"/>
      <c r="M13" s="18"/>
      <c r="N13" s="18"/>
      <c r="O13" s="18"/>
      <c r="P13" s="18"/>
      <c r="Q13" s="18"/>
    </row>
    <row r="14" spans="1:17" ht="18" customHeight="1" x14ac:dyDescent="0.25">
      <c r="A14" s="14" t="s">
        <v>86</v>
      </c>
      <c r="B14" s="12" t="s">
        <v>87</v>
      </c>
      <c r="C14" s="12" t="s">
        <v>57</v>
      </c>
      <c r="D14" s="14">
        <v>66</v>
      </c>
      <c r="E14" s="15">
        <v>0.73</v>
      </c>
      <c r="F14" s="16">
        <v>65819</v>
      </c>
      <c r="G14" s="14">
        <v>2019</v>
      </c>
      <c r="H14" s="14" t="s">
        <v>67</v>
      </c>
      <c r="I14" s="12" t="s">
        <v>59</v>
      </c>
      <c r="J14" s="17"/>
      <c r="K14" s="17"/>
      <c r="L14" s="18"/>
      <c r="M14" s="18"/>
      <c r="N14" s="18"/>
      <c r="O14" s="18"/>
      <c r="P14" s="18"/>
      <c r="Q14" s="18"/>
    </row>
    <row r="15" spans="1:17" ht="18" customHeight="1" x14ac:dyDescent="0.25">
      <c r="A15" s="19" t="s">
        <v>88</v>
      </c>
      <c r="B15" s="8" t="s">
        <v>89</v>
      </c>
      <c r="C15" s="8" t="s">
        <v>62</v>
      </c>
      <c r="D15" s="19">
        <v>84</v>
      </c>
      <c r="E15" s="20">
        <v>0.72</v>
      </c>
      <c r="F15" s="21">
        <v>27358</v>
      </c>
      <c r="G15" s="19">
        <v>2022</v>
      </c>
      <c r="H15" s="19" t="s">
        <v>71</v>
      </c>
      <c r="I15" s="8" t="s">
        <v>59</v>
      </c>
      <c r="J15" s="17"/>
      <c r="K15" s="17"/>
      <c r="L15" s="18"/>
      <c r="M15" s="18"/>
      <c r="N15" s="18"/>
      <c r="O15" s="18"/>
      <c r="P15" s="18"/>
      <c r="Q15" s="18"/>
    </row>
    <row r="16" spans="1:17" ht="18" customHeight="1" x14ac:dyDescent="0.25">
      <c r="A16" s="14" t="s">
        <v>90</v>
      </c>
      <c r="B16" s="12" t="s">
        <v>91</v>
      </c>
      <c r="C16" s="12" t="s">
        <v>66</v>
      </c>
      <c r="D16" s="14">
        <v>88</v>
      </c>
      <c r="E16" s="15">
        <v>0.71</v>
      </c>
      <c r="F16" s="16">
        <v>78589</v>
      </c>
      <c r="G16" s="14">
        <v>2021</v>
      </c>
      <c r="H16" s="14" t="s">
        <v>58</v>
      </c>
      <c r="I16" s="12" t="s">
        <v>59</v>
      </c>
      <c r="J16" s="17"/>
      <c r="K16" s="17"/>
      <c r="L16" s="18"/>
      <c r="M16" s="18"/>
      <c r="N16" s="18"/>
      <c r="O16" s="18"/>
      <c r="P16" s="18"/>
      <c r="Q16" s="18"/>
    </row>
    <row r="17" spans="1:17" ht="18" customHeight="1" x14ac:dyDescent="0.25">
      <c r="A17" s="19" t="s">
        <v>92</v>
      </c>
      <c r="B17" s="8" t="s">
        <v>93</v>
      </c>
      <c r="C17" s="8" t="s">
        <v>70</v>
      </c>
      <c r="D17" s="19">
        <v>77</v>
      </c>
      <c r="E17" s="20">
        <v>0.7</v>
      </c>
      <c r="F17" s="21">
        <v>60504</v>
      </c>
      <c r="G17" s="19">
        <v>2024</v>
      </c>
      <c r="H17" s="19" t="s">
        <v>63</v>
      </c>
      <c r="I17" s="8" t="s">
        <v>59</v>
      </c>
      <c r="J17" s="17"/>
      <c r="K17" s="17"/>
      <c r="L17" s="18"/>
      <c r="M17" s="18"/>
      <c r="N17" s="18"/>
      <c r="O17" s="18"/>
      <c r="P17" s="18"/>
      <c r="Q17" s="18"/>
    </row>
    <row r="18" spans="1:17" ht="18" customHeight="1" x14ac:dyDescent="0.25">
      <c r="A18" s="14" t="s">
        <v>94</v>
      </c>
      <c r="B18" s="12" t="s">
        <v>95</v>
      </c>
      <c r="C18" s="12" t="s">
        <v>74</v>
      </c>
      <c r="D18" s="14">
        <v>93</v>
      </c>
      <c r="E18" s="15">
        <v>0.74</v>
      </c>
      <c r="F18" s="16">
        <v>53093</v>
      </c>
      <c r="G18" s="14">
        <v>2018</v>
      </c>
      <c r="H18" s="14" t="s">
        <v>67</v>
      </c>
      <c r="I18" s="12" t="s">
        <v>59</v>
      </c>
      <c r="J18" s="17"/>
      <c r="K18" s="17"/>
      <c r="L18" s="18"/>
      <c r="M18" s="18"/>
      <c r="N18" s="18"/>
      <c r="O18" s="18"/>
      <c r="P18" s="18"/>
      <c r="Q18" s="18"/>
    </row>
    <row r="19" spans="1:17" ht="18" customHeight="1" x14ac:dyDescent="0.25">
      <c r="A19" s="19" t="s">
        <v>96</v>
      </c>
      <c r="B19" s="8" t="s">
        <v>97</v>
      </c>
      <c r="C19" s="8" t="s">
        <v>57</v>
      </c>
      <c r="D19" s="19">
        <v>62</v>
      </c>
      <c r="E19" s="20">
        <v>0.7</v>
      </c>
      <c r="F19" s="21">
        <v>83435</v>
      </c>
      <c r="G19" s="19">
        <v>2021</v>
      </c>
      <c r="H19" s="19" t="s">
        <v>71</v>
      </c>
      <c r="I19" s="8" t="s">
        <v>59</v>
      </c>
      <c r="J19" s="17"/>
      <c r="K19" s="17"/>
      <c r="L19" s="18"/>
      <c r="M19" s="18"/>
      <c r="N19" s="18"/>
      <c r="O19" s="18"/>
      <c r="P19" s="18"/>
      <c r="Q19" s="18"/>
    </row>
    <row r="20" spans="1:17" ht="18" customHeight="1" x14ac:dyDescent="0.25">
      <c r="A20" s="14" t="s">
        <v>98</v>
      </c>
      <c r="B20" s="12" t="s">
        <v>99</v>
      </c>
      <c r="C20" s="12" t="s">
        <v>62</v>
      </c>
      <c r="D20" s="14">
        <v>58</v>
      </c>
      <c r="E20" s="15">
        <v>0.67</v>
      </c>
      <c r="F20" s="16">
        <v>52438</v>
      </c>
      <c r="G20" s="14">
        <v>2023</v>
      </c>
      <c r="H20" s="14" t="s">
        <v>58</v>
      </c>
      <c r="I20" s="12" t="s">
        <v>59</v>
      </c>
      <c r="J20" s="17"/>
      <c r="K20" s="17"/>
      <c r="L20" s="18"/>
      <c r="M20" s="18"/>
      <c r="N20" s="18"/>
      <c r="O20" s="18"/>
      <c r="P20" s="18"/>
      <c r="Q20" s="18"/>
    </row>
    <row r="21" spans="1:17" ht="18" customHeight="1" x14ac:dyDescent="0.25">
      <c r="A21" s="19" t="s">
        <v>100</v>
      </c>
      <c r="B21" s="8" t="s">
        <v>101</v>
      </c>
      <c r="C21" s="8" t="s">
        <v>66</v>
      </c>
      <c r="D21" s="19">
        <v>67</v>
      </c>
      <c r="E21" s="20">
        <v>0.76</v>
      </c>
      <c r="F21" s="21">
        <v>36131</v>
      </c>
      <c r="G21" s="19">
        <v>2022</v>
      </c>
      <c r="H21" s="19" t="s">
        <v>63</v>
      </c>
      <c r="I21" s="8" t="s">
        <v>81</v>
      </c>
      <c r="J21" s="17"/>
      <c r="K21" s="17"/>
      <c r="L21" s="18"/>
      <c r="M21" s="18"/>
      <c r="N21" s="18"/>
      <c r="O21" s="18"/>
      <c r="P21" s="18"/>
      <c r="Q21" s="18"/>
    </row>
    <row r="22" spans="1:17" ht="18" customHeight="1" x14ac:dyDescent="0.25">
      <c r="A22" s="14" t="s">
        <v>102</v>
      </c>
      <c r="B22" s="12" t="s">
        <v>103</v>
      </c>
      <c r="C22" s="12" t="s">
        <v>70</v>
      </c>
      <c r="D22" s="14">
        <v>97</v>
      </c>
      <c r="E22" s="15">
        <v>0.66</v>
      </c>
      <c r="F22" s="16">
        <v>38969</v>
      </c>
      <c r="G22" s="14">
        <v>2024</v>
      </c>
      <c r="H22" s="14" t="s">
        <v>67</v>
      </c>
      <c r="I22" s="12" t="s">
        <v>81</v>
      </c>
      <c r="J22" s="17"/>
      <c r="K22" s="17"/>
      <c r="L22" s="18"/>
      <c r="M22" s="18"/>
      <c r="N22" s="18"/>
      <c r="O22" s="18"/>
      <c r="P22" s="18"/>
      <c r="Q22" s="18"/>
    </row>
    <row r="23" spans="1:17" ht="18" customHeight="1" x14ac:dyDescent="0.25">
      <c r="A23" s="19" t="s">
        <v>104</v>
      </c>
      <c r="B23" s="8" t="s">
        <v>105</v>
      </c>
      <c r="C23" s="8" t="s">
        <v>74</v>
      </c>
      <c r="D23" s="19">
        <v>46</v>
      </c>
      <c r="E23" s="20">
        <v>0.77</v>
      </c>
      <c r="F23" s="21">
        <v>79348</v>
      </c>
      <c r="G23" s="19">
        <v>2022</v>
      </c>
      <c r="H23" s="19" t="s">
        <v>71</v>
      </c>
      <c r="I23" s="8" t="s">
        <v>59</v>
      </c>
      <c r="J23" s="17"/>
      <c r="K23" s="17"/>
      <c r="L23" s="18"/>
      <c r="M23" s="18"/>
      <c r="N23" s="18"/>
      <c r="O23" s="18"/>
      <c r="P23" s="18"/>
      <c r="Q23" s="18"/>
    </row>
    <row r="24" spans="1:17" ht="18" customHeight="1" x14ac:dyDescent="0.25">
      <c r="A24" s="14" t="s">
        <v>106</v>
      </c>
      <c r="B24" s="12" t="s">
        <v>107</v>
      </c>
      <c r="C24" s="12" t="s">
        <v>57</v>
      </c>
      <c r="D24" s="14">
        <v>85</v>
      </c>
      <c r="E24" s="15">
        <v>0.89</v>
      </c>
      <c r="F24" s="16">
        <v>52973</v>
      </c>
      <c r="G24" s="14">
        <v>2024</v>
      </c>
      <c r="H24" s="14" t="s">
        <v>58</v>
      </c>
      <c r="I24" s="12" t="s">
        <v>59</v>
      </c>
      <c r="J24" s="17"/>
      <c r="K24" s="17"/>
      <c r="L24" s="18"/>
      <c r="M24" s="18"/>
      <c r="N24" s="18"/>
      <c r="O24" s="18"/>
      <c r="P24" s="18"/>
      <c r="Q24" s="18"/>
    </row>
    <row r="25" spans="1:17" ht="18" customHeight="1" x14ac:dyDescent="0.25">
      <c r="A25" s="19" t="s">
        <v>108</v>
      </c>
      <c r="B25" s="8" t="s">
        <v>109</v>
      </c>
      <c r="C25" s="8" t="s">
        <v>62</v>
      </c>
      <c r="D25" s="19">
        <v>60</v>
      </c>
      <c r="E25" s="20">
        <v>0.79</v>
      </c>
      <c r="F25" s="21">
        <v>77470</v>
      </c>
      <c r="G25" s="19">
        <v>2018</v>
      </c>
      <c r="H25" s="19" t="s">
        <v>63</v>
      </c>
      <c r="I25" s="8" t="s">
        <v>59</v>
      </c>
      <c r="J25" s="17"/>
      <c r="K25" s="17"/>
      <c r="L25" s="18"/>
      <c r="M25" s="18"/>
      <c r="N25" s="18"/>
      <c r="O25" s="18"/>
      <c r="P25" s="18"/>
      <c r="Q25" s="18"/>
    </row>
    <row r="26" spans="1:17" ht="18" customHeight="1" x14ac:dyDescent="0.25">
      <c r="A26" s="14" t="s">
        <v>110</v>
      </c>
      <c r="B26" s="12" t="s">
        <v>111</v>
      </c>
      <c r="C26" s="12" t="s">
        <v>66</v>
      </c>
      <c r="D26" s="14">
        <v>74</v>
      </c>
      <c r="E26" s="15">
        <v>0.91</v>
      </c>
      <c r="F26" s="16">
        <v>84542</v>
      </c>
      <c r="G26" s="14">
        <v>2018</v>
      </c>
      <c r="H26" s="14" t="s">
        <v>67</v>
      </c>
      <c r="I26" s="12" t="s">
        <v>59</v>
      </c>
      <c r="J26" s="17"/>
      <c r="K26" s="17"/>
      <c r="L26" s="18"/>
      <c r="M26" s="18"/>
      <c r="N26" s="18"/>
      <c r="O26" s="18"/>
      <c r="P26" s="18"/>
      <c r="Q26" s="18"/>
    </row>
    <row r="27" spans="1:17" ht="18" customHeight="1" x14ac:dyDescent="0.25">
      <c r="A27" s="19" t="s">
        <v>112</v>
      </c>
      <c r="B27" s="8" t="s">
        <v>113</v>
      </c>
      <c r="C27" s="8" t="s">
        <v>70</v>
      </c>
      <c r="D27" s="19">
        <v>74</v>
      </c>
      <c r="E27" s="20">
        <v>0.85</v>
      </c>
      <c r="F27" s="21">
        <v>38032</v>
      </c>
      <c r="G27" s="19">
        <v>2020</v>
      </c>
      <c r="H27" s="19" t="s">
        <v>71</v>
      </c>
      <c r="I27" s="8" t="s">
        <v>59</v>
      </c>
      <c r="J27" s="17"/>
      <c r="K27" s="17"/>
      <c r="L27" s="18"/>
      <c r="M27" s="18"/>
      <c r="N27" s="18"/>
      <c r="O27" s="18"/>
      <c r="P27" s="18"/>
      <c r="Q27" s="18"/>
    </row>
    <row r="28" spans="1:17" ht="18" customHeight="1" x14ac:dyDescent="0.25">
      <c r="A28" s="14" t="s">
        <v>114</v>
      </c>
      <c r="B28" s="12" t="s">
        <v>115</v>
      </c>
      <c r="C28" s="12" t="s">
        <v>74</v>
      </c>
      <c r="D28" s="14">
        <v>42</v>
      </c>
      <c r="E28" s="15">
        <v>0.85</v>
      </c>
      <c r="F28" s="16">
        <v>82042</v>
      </c>
      <c r="G28" s="14">
        <v>2018</v>
      </c>
      <c r="H28" s="14" t="s">
        <v>58</v>
      </c>
      <c r="I28" s="12" t="s">
        <v>59</v>
      </c>
      <c r="J28" s="17"/>
      <c r="K28" s="17"/>
      <c r="L28" s="18"/>
      <c r="M28" s="18"/>
      <c r="N28" s="18"/>
      <c r="O28" s="18"/>
      <c r="P28" s="18"/>
      <c r="Q28" s="18"/>
    </row>
    <row r="29" spans="1:17" ht="18" customHeight="1" x14ac:dyDescent="0.25">
      <c r="A29" s="19" t="s">
        <v>116</v>
      </c>
      <c r="B29" s="8" t="s">
        <v>117</v>
      </c>
      <c r="C29" s="8" t="s">
        <v>57</v>
      </c>
      <c r="D29" s="19">
        <v>57</v>
      </c>
      <c r="E29" s="20">
        <v>0.64</v>
      </c>
      <c r="F29" s="21">
        <v>28322</v>
      </c>
      <c r="G29" s="19">
        <v>2018</v>
      </c>
      <c r="H29" s="19" t="s">
        <v>63</v>
      </c>
      <c r="I29" s="8" t="s">
        <v>59</v>
      </c>
      <c r="J29" s="17"/>
      <c r="K29" s="17"/>
      <c r="L29" s="18"/>
      <c r="M29" s="18"/>
      <c r="N29" s="18"/>
      <c r="O29" s="18"/>
      <c r="P29" s="18"/>
      <c r="Q29" s="18"/>
    </row>
    <row r="30" spans="1:17" ht="18" customHeight="1" x14ac:dyDescent="0.25">
      <c r="A30" s="14" t="s">
        <v>118</v>
      </c>
      <c r="B30" s="12" t="s">
        <v>119</v>
      </c>
      <c r="C30" s="12" t="s">
        <v>62</v>
      </c>
      <c r="D30" s="14">
        <v>90</v>
      </c>
      <c r="E30" s="15">
        <v>0.82</v>
      </c>
      <c r="F30" s="16">
        <v>34483</v>
      </c>
      <c r="G30" s="14">
        <v>2019</v>
      </c>
      <c r="H30" s="14" t="s">
        <v>67</v>
      </c>
      <c r="I30" s="12" t="s">
        <v>59</v>
      </c>
      <c r="J30" s="17"/>
      <c r="K30" s="17"/>
      <c r="L30" s="18"/>
      <c r="M30" s="18"/>
      <c r="N30" s="18"/>
      <c r="O30" s="18"/>
      <c r="P30" s="18"/>
      <c r="Q30" s="18"/>
    </row>
    <row r="31" spans="1:17" ht="18" customHeight="1" x14ac:dyDescent="0.25">
      <c r="A31" s="19" t="s">
        <v>120</v>
      </c>
      <c r="B31" s="8" t="s">
        <v>121</v>
      </c>
      <c r="C31" s="8" t="s">
        <v>66</v>
      </c>
      <c r="D31" s="19">
        <v>52</v>
      </c>
      <c r="E31" s="20">
        <v>0.72</v>
      </c>
      <c r="F31" s="21">
        <v>73461</v>
      </c>
      <c r="G31" s="19">
        <v>2019</v>
      </c>
      <c r="H31" s="19" t="s">
        <v>71</v>
      </c>
      <c r="I31" s="8" t="s">
        <v>81</v>
      </c>
      <c r="J31" s="17"/>
      <c r="K31" s="17"/>
      <c r="L31" s="18"/>
      <c r="M31" s="18"/>
      <c r="N31" s="18"/>
      <c r="O31" s="18"/>
      <c r="P31" s="18"/>
      <c r="Q31" s="18"/>
    </row>
    <row r="32" spans="1:17" ht="18" customHeight="1" x14ac:dyDescent="0.25">
      <c r="A32" s="14" t="s">
        <v>122</v>
      </c>
      <c r="B32" s="12" t="s">
        <v>123</v>
      </c>
      <c r="C32" s="12" t="s">
        <v>70</v>
      </c>
      <c r="D32" s="14">
        <v>86</v>
      </c>
      <c r="E32" s="15">
        <v>0.7</v>
      </c>
      <c r="F32" s="16">
        <v>58857</v>
      </c>
      <c r="G32" s="14">
        <v>2021</v>
      </c>
      <c r="H32" s="14" t="s">
        <v>58</v>
      </c>
      <c r="I32" s="12" t="s">
        <v>81</v>
      </c>
      <c r="J32" s="17"/>
      <c r="K32" s="17"/>
      <c r="L32" s="18"/>
      <c r="M32" s="18"/>
      <c r="N32" s="18"/>
      <c r="O32" s="18"/>
      <c r="P32" s="18"/>
      <c r="Q32" s="18"/>
    </row>
    <row r="33" spans="1:17" ht="18" customHeight="1" x14ac:dyDescent="0.25">
      <c r="A33" s="19" t="s">
        <v>124</v>
      </c>
      <c r="B33" s="8" t="s">
        <v>125</v>
      </c>
      <c r="C33" s="8" t="s">
        <v>74</v>
      </c>
      <c r="D33" s="19">
        <v>70</v>
      </c>
      <c r="E33" s="20">
        <v>0.96</v>
      </c>
      <c r="F33" s="21">
        <v>77177</v>
      </c>
      <c r="G33" s="19">
        <v>2018</v>
      </c>
      <c r="H33" s="19" t="s">
        <v>63</v>
      </c>
      <c r="I33" s="8" t="s">
        <v>59</v>
      </c>
      <c r="J33" s="17"/>
      <c r="K33" s="17"/>
      <c r="L33" s="18"/>
      <c r="M33" s="18"/>
      <c r="N33" s="18"/>
      <c r="O33" s="18"/>
      <c r="P33" s="18"/>
      <c r="Q33" s="18"/>
    </row>
    <row r="34" spans="1:17" ht="15.75" customHeight="1" x14ac:dyDescent="0.25">
      <c r="J34" s="22" t="s">
        <v>126</v>
      </c>
      <c r="K34" s="22" t="s">
        <v>127</v>
      </c>
      <c r="L34" s="22" t="s">
        <v>128</v>
      </c>
      <c r="M34" s="22" t="s">
        <v>129</v>
      </c>
      <c r="N34" s="22" t="s">
        <v>130</v>
      </c>
      <c r="O34" s="22" t="s">
        <v>131</v>
      </c>
      <c r="P34" s="22" t="s">
        <v>132</v>
      </c>
      <c r="Q34" s="22" t="s">
        <v>133</v>
      </c>
    </row>
    <row r="35" spans="1:17" ht="15.75" customHeight="1" x14ac:dyDescent="0.25"/>
    <row r="36" spans="1:17" ht="25.5" customHeight="1" x14ac:dyDescent="0.25">
      <c r="A36" s="50" t="s">
        <v>134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6"/>
    </row>
    <row r="37" spans="1:17" ht="36" x14ac:dyDescent="0.25">
      <c r="A37" s="23" t="s">
        <v>135</v>
      </c>
      <c r="B37" s="48" t="s">
        <v>322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6"/>
    </row>
    <row r="38" spans="1:17" ht="31.5" customHeight="1" x14ac:dyDescent="0.25">
      <c r="A38" s="23" t="s">
        <v>136</v>
      </c>
      <c r="B38" s="48" t="e">
        <f>IF(OR(D4&lt;50,E4&lt;0.7),"Review","OK")  drag to k33.</f>
        <v>#VALUE!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6"/>
    </row>
    <row r="39" spans="1:17" ht="31.5" customHeight="1" x14ac:dyDescent="0.25">
      <c r="A39" s="23" t="s">
        <v>137</v>
      </c>
      <c r="B39" s="48" t="e">
        <f>IF(NOT(I4="Inactive"),"Process","Skip")  drag to l33.</f>
        <v>#VALUE!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6"/>
    </row>
    <row r="40" spans="1:17" ht="31.5" customHeight="1" x14ac:dyDescent="0.25">
      <c r="A40" s="23" t="s">
        <v>138</v>
      </c>
      <c r="B40" s="48" t="e">
        <f>IF(OR(AND(D4&gt;80,E4&gt;=0.9),AND(H4="North",F4&lt;30000)),"Bonus","No Bonus")  drag to m33.</f>
        <v>#VALUE!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6"/>
    </row>
    <row r="41" spans="1:17" ht="31.5" customHeight="1" x14ac:dyDescent="0.25">
      <c r="A41" s="23" t="s">
        <v>139</v>
      </c>
      <c r="B41" s="48" t="e">
        <f>IF(D4&gt;=80,"A",IF(D4&gt;=60,"B",IF(D4&gt;=40,"C","D")))  drag to   n33.  try ifs version too.</f>
        <v>#VALUE!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6"/>
    </row>
    <row r="42" spans="1:17" ht="31.5" customHeight="1" x14ac:dyDescent="0.25">
      <c r="A42" s="23" t="s">
        <v>140</v>
      </c>
      <c r="B42" s="48" t="e">
        <f>IF(D4&gt;AVERAGE($D$4:$D$33),"Above Avg","At/Below Avg")  drag to o33.</f>
        <v>#VALUE!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6"/>
    </row>
    <row r="43" spans="1:17" ht="31.5" customHeight="1" x14ac:dyDescent="0.25">
      <c r="A43" s="23" t="s">
        <v>141</v>
      </c>
      <c r="B43" s="48" t="e">
        <f>IF(D4=MAX($D$4:$D$33),"Top Performer","")  drag to p33.</f>
        <v>#VALUE!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6"/>
    </row>
    <row r="44" spans="1:17" ht="31.5" customHeight="1" x14ac:dyDescent="0.25">
      <c r="A44" s="23" t="s">
        <v>142</v>
      </c>
      <c r="B44" s="48" t="e">
        <f ca="1">_xludf.ifs(AND(D4&gt;=80,E4&gt;=0.85),"Tier 1",AND(D4&gt;=60,E4&gt;=0.75),"Tier 2",TRUE(),"Tier 3")  drag to q33.</f>
        <v>#NAME?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6"/>
    </row>
    <row r="45" spans="1:17" ht="15.75" customHeight="1" x14ac:dyDescent="0.25"/>
    <row r="46" spans="1:17" ht="15.75" customHeight="1" x14ac:dyDescent="0.25"/>
    <row r="47" spans="1:17" ht="15.75" customHeight="1" x14ac:dyDescent="0.25"/>
    <row r="48" spans="1:1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1">
    <mergeCell ref="B41:P41"/>
    <mergeCell ref="B42:P42"/>
    <mergeCell ref="B43:P43"/>
    <mergeCell ref="B44:P44"/>
    <mergeCell ref="A1:P1"/>
    <mergeCell ref="A2:P2"/>
    <mergeCell ref="A36:P36"/>
    <mergeCell ref="B37:P37"/>
    <mergeCell ref="B38:P38"/>
    <mergeCell ref="B39:P39"/>
    <mergeCell ref="B40:P40"/>
  </mergeCells>
  <pageMargins left="0.75" right="0.75" top="1" bottom="1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000"/>
  <sheetViews>
    <sheetView showGridLines="0" workbookViewId="0">
      <selection sqref="A1:C1"/>
    </sheetView>
  </sheetViews>
  <sheetFormatPr defaultColWidth="14.42578125" defaultRowHeight="15" customHeight="1" x14ac:dyDescent="0.25"/>
  <cols>
    <col min="1" max="1" width="32" customWidth="1"/>
    <col min="2" max="2" width="60" customWidth="1"/>
    <col min="3" max="3" width="30" customWidth="1"/>
    <col min="4" max="26" width="8.7109375" customWidth="1"/>
  </cols>
  <sheetData>
    <row r="1" spans="1:3" ht="33.75" customHeight="1" x14ac:dyDescent="0.25">
      <c r="A1" s="51" t="s">
        <v>143</v>
      </c>
      <c r="B1" s="49"/>
      <c r="C1" s="46"/>
    </row>
    <row r="2" spans="1:3" ht="19.5" customHeight="1" x14ac:dyDescent="0.25">
      <c r="A2" s="47" t="s">
        <v>144</v>
      </c>
      <c r="B2" s="49"/>
      <c r="C2" s="46"/>
    </row>
    <row r="3" spans="1:3" ht="21.75" customHeight="1" x14ac:dyDescent="0.25">
      <c r="A3" s="11" t="s">
        <v>145</v>
      </c>
      <c r="B3" s="11" t="s">
        <v>146</v>
      </c>
      <c r="C3" s="11" t="s">
        <v>147</v>
      </c>
    </row>
    <row r="4" spans="1:3" ht="24" customHeight="1" x14ac:dyDescent="0.25">
      <c r="A4" s="23" t="s">
        <v>148</v>
      </c>
      <c r="B4" s="24"/>
      <c r="C4" s="25" t="s">
        <v>149</v>
      </c>
    </row>
    <row r="5" spans="1:3" ht="24" customHeight="1" x14ac:dyDescent="0.25">
      <c r="A5" s="24" t="s">
        <v>150</v>
      </c>
      <c r="B5" s="24">
        <f>COUNTIFS(Part_I_Data!C4:C33,"Sales")</f>
        <v>6</v>
      </c>
      <c r="C5" s="26"/>
    </row>
    <row r="6" spans="1:3" ht="24" customHeight="1" x14ac:dyDescent="0.25">
      <c r="A6" s="23" t="s">
        <v>151</v>
      </c>
      <c r="B6" s="24"/>
      <c r="C6" s="25" t="s">
        <v>152</v>
      </c>
    </row>
    <row r="7" spans="1:3" ht="24" customHeight="1" x14ac:dyDescent="0.25">
      <c r="A7" s="24" t="s">
        <v>150</v>
      </c>
      <c r="B7" s="24">
        <f>COUNTIFS(Part_I_Data!I4:I33,"Active",Part_I_Data!D4:D33,"&gt;70")</f>
        <v>11</v>
      </c>
      <c r="C7" s="26"/>
    </row>
    <row r="8" spans="1:3" ht="24" customHeight="1" x14ac:dyDescent="0.25">
      <c r="A8" s="23" t="s">
        <v>153</v>
      </c>
      <c r="B8" s="24"/>
      <c r="C8" s="25" t="s">
        <v>154</v>
      </c>
    </row>
    <row r="9" spans="1:3" ht="24" customHeight="1" x14ac:dyDescent="0.25">
      <c r="A9" s="24" t="s">
        <v>150</v>
      </c>
      <c r="B9" s="24">
        <f>COUNTIFS(Part_I_Data!C4:C33,"IT",Part_I_Data!H4:H33,"North",Part_I_Data!G4:G33,"&gt;2020")</f>
        <v>1</v>
      </c>
      <c r="C9" s="26"/>
    </row>
    <row r="10" spans="1:3" ht="24" customHeight="1" x14ac:dyDescent="0.25">
      <c r="A10" s="23" t="s">
        <v>155</v>
      </c>
      <c r="B10" s="24"/>
      <c r="C10" s="25" t="s">
        <v>156</v>
      </c>
    </row>
    <row r="11" spans="1:3" ht="24" customHeight="1" x14ac:dyDescent="0.25">
      <c r="A11" s="24" t="s">
        <v>150</v>
      </c>
      <c r="B11" s="24">
        <f>COUNTIFS(Part_I_Data!D4:D33,"&gt;=60",Part_I_Data!D4:D33,"&lt;=80")</f>
        <v>10</v>
      </c>
      <c r="C11" s="26"/>
    </row>
    <row r="12" spans="1:3" ht="24" customHeight="1" x14ac:dyDescent="0.25">
      <c r="A12" s="23" t="s">
        <v>157</v>
      </c>
      <c r="B12" s="24"/>
      <c r="C12" s="25" t="s">
        <v>158</v>
      </c>
    </row>
    <row r="13" spans="1:3" ht="24" customHeight="1" x14ac:dyDescent="0.25">
      <c r="A13" s="24" t="s">
        <v>150</v>
      </c>
      <c r="B13" s="24">
        <f>SUMIFS(Part_I_Data!F4:F33,Part_I_Data!C4:C33,"HR",Part_I_Data!H4:H33,"South")</f>
        <v>90440</v>
      </c>
      <c r="C13" s="26"/>
    </row>
    <row r="14" spans="1:3" ht="24" customHeight="1" x14ac:dyDescent="0.25">
      <c r="A14" s="23" t="s">
        <v>159</v>
      </c>
      <c r="B14" s="24"/>
      <c r="C14" s="25" t="s">
        <v>160</v>
      </c>
    </row>
    <row r="15" spans="1:3" ht="24" customHeight="1" x14ac:dyDescent="0.25">
      <c r="A15" s="24" t="s">
        <v>150</v>
      </c>
      <c r="B15" s="24">
        <f>SUMIFS(Part_I_Data!F4:F33,Part_I_Data!I4:I33,"Active",Part_I_Data!D4:D33,"&gt;=80")</f>
        <v>412457</v>
      </c>
      <c r="C15" s="26"/>
    </row>
    <row r="16" spans="1:3" ht="24" customHeight="1" x14ac:dyDescent="0.25">
      <c r="A16" s="23" t="s">
        <v>161</v>
      </c>
      <c r="B16" s="24"/>
      <c r="C16" s="25" t="s">
        <v>162</v>
      </c>
    </row>
    <row r="17" spans="1:3" ht="24" customHeight="1" x14ac:dyDescent="0.25">
      <c r="A17" s="24" t="s">
        <v>150</v>
      </c>
      <c r="B17" s="24">
        <f>AVERAGEIFS(Part_I_Data!D4:D33,Part_I_Data!C4:C33,"Finance",Part_I_Data!I4:I33,"Active")</f>
        <v>79.333333333333329</v>
      </c>
      <c r="C17" s="26"/>
    </row>
    <row r="18" spans="1:3" ht="24" customHeight="1" x14ac:dyDescent="0.25">
      <c r="A18" s="23" t="s">
        <v>163</v>
      </c>
      <c r="B18" s="24"/>
      <c r="C18" s="25" t="s">
        <v>164</v>
      </c>
    </row>
    <row r="19" spans="1:3" ht="24" customHeight="1" x14ac:dyDescent="0.25">
      <c r="A19" s="24" t="s">
        <v>150</v>
      </c>
      <c r="B19" s="24">
        <f>AVERAGEIFS(Part_I_Data!F4:F33,Part_I_Data!C4:C33,"Ops",Part_I_Data!E4:E33,"&gt;=0.85")</f>
        <v>63518.75</v>
      </c>
      <c r="C19" s="26"/>
    </row>
    <row r="21" spans="1:3" ht="15.75" customHeight="1" x14ac:dyDescent="0.25"/>
    <row r="22" spans="1:3" ht="25.5" customHeight="1" x14ac:dyDescent="0.25">
      <c r="A22" s="50" t="s">
        <v>165</v>
      </c>
      <c r="B22" s="49"/>
      <c r="C22" s="46"/>
    </row>
    <row r="23" spans="1:3" ht="21.75" customHeight="1" x14ac:dyDescent="0.25">
      <c r="A23" s="1" t="s">
        <v>166</v>
      </c>
      <c r="B23" s="27" t="s">
        <v>62</v>
      </c>
      <c r="C23" s="28"/>
    </row>
    <row r="24" spans="1:3" ht="21.75" customHeight="1" x14ac:dyDescent="0.25">
      <c r="A24" s="1" t="s">
        <v>167</v>
      </c>
      <c r="B24" s="27" t="s">
        <v>58</v>
      </c>
      <c r="C24" s="28"/>
    </row>
    <row r="25" spans="1:3" ht="21.75" customHeight="1" x14ac:dyDescent="0.25">
      <c r="A25" s="1" t="s">
        <v>168</v>
      </c>
      <c r="B25" s="29">
        <f>COUNTIFS(Part_I_Data!C4:C33,E4,Part_I_Data!H4:H33,E5)</f>
        <v>0</v>
      </c>
      <c r="C25" s="28" t="s">
        <v>169</v>
      </c>
    </row>
    <row r="26" spans="1:3" ht="21.75" customHeight="1" x14ac:dyDescent="0.25">
      <c r="A26" s="1" t="s">
        <v>170</v>
      </c>
      <c r="B26" s="29">
        <f>SUMIFS(Part_I_Data!F4:F33,Part_I_Data!C4:C33,E4,Part_I_Data!H4:H33,E5)</f>
        <v>0</v>
      </c>
      <c r="C26" s="28"/>
    </row>
    <row r="27" spans="1:3" ht="21.75" customHeight="1" x14ac:dyDescent="0.25">
      <c r="A27" s="1" t="s">
        <v>171</v>
      </c>
      <c r="B27" s="29" t="e">
        <f>AVERAGEIFS(Part_I_Data!D4:D33,Part_I_Data!C4:C33,E4,Part_I_Data!H4:H33,E5)</f>
        <v>#DIV/0!</v>
      </c>
      <c r="C27" s="28"/>
    </row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C1"/>
    <mergeCell ref="A2:C2"/>
    <mergeCell ref="A22:C22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000"/>
  <sheetViews>
    <sheetView showGridLines="0" topLeftCell="A23" workbookViewId="0">
      <selection sqref="A1:R1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2" customWidth="1"/>
    <col min="4" max="4" width="14" customWidth="1"/>
    <col min="5" max="6" width="12" customWidth="1"/>
    <col min="7" max="9" width="14" customWidth="1"/>
    <col min="10" max="17" width="18" customWidth="1"/>
    <col min="18" max="18" width="14" customWidth="1"/>
    <col min="19" max="26" width="8.7109375" customWidth="1"/>
  </cols>
  <sheetData>
    <row r="1" spans="1:18" ht="33.75" customHeight="1" x14ac:dyDescent="0.25">
      <c r="A1" s="53" t="s">
        <v>172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6"/>
    </row>
    <row r="2" spans="1:18" ht="19.5" customHeight="1" x14ac:dyDescent="0.25">
      <c r="A2" s="47" t="s">
        <v>173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6"/>
    </row>
    <row r="3" spans="1:18" ht="24" customHeight="1" x14ac:dyDescent="0.25">
      <c r="A3" s="30" t="s">
        <v>38</v>
      </c>
      <c r="B3" s="30" t="s">
        <v>39</v>
      </c>
      <c r="C3" s="30" t="s">
        <v>40</v>
      </c>
      <c r="D3" s="30" t="s">
        <v>174</v>
      </c>
      <c r="E3" s="30" t="s">
        <v>43</v>
      </c>
      <c r="F3" s="30" t="s">
        <v>175</v>
      </c>
      <c r="G3" s="30" t="s">
        <v>176</v>
      </c>
      <c r="I3" s="31" t="s">
        <v>177</v>
      </c>
      <c r="J3" s="13" t="s">
        <v>178</v>
      </c>
      <c r="K3" s="13" t="s">
        <v>179</v>
      </c>
      <c r="L3" s="13" t="s">
        <v>180</v>
      </c>
      <c r="M3" s="32" t="s">
        <v>181</v>
      </c>
      <c r="N3" s="33" t="s">
        <v>182</v>
      </c>
      <c r="O3" s="34" t="s">
        <v>183</v>
      </c>
      <c r="P3" s="35" t="s">
        <v>184</v>
      </c>
      <c r="Q3" s="36" t="s">
        <v>185</v>
      </c>
    </row>
    <row r="4" spans="1:18" ht="18" customHeight="1" x14ac:dyDescent="0.25">
      <c r="A4" s="14" t="s">
        <v>55</v>
      </c>
      <c r="B4" s="12" t="s">
        <v>56</v>
      </c>
      <c r="C4" s="12" t="s">
        <v>57</v>
      </c>
      <c r="D4" s="12" t="s">
        <v>186</v>
      </c>
      <c r="E4" s="37">
        <v>54048</v>
      </c>
      <c r="F4" s="12" t="s">
        <v>187</v>
      </c>
      <c r="G4" s="38">
        <v>43101</v>
      </c>
      <c r="I4" s="39" t="s">
        <v>64</v>
      </c>
      <c r="J4" s="18"/>
      <c r="K4" s="18"/>
      <c r="L4" s="18"/>
      <c r="M4" s="18"/>
      <c r="N4" s="18"/>
      <c r="O4" s="18"/>
      <c r="P4" s="18"/>
      <c r="Q4" s="18"/>
    </row>
    <row r="5" spans="1:18" ht="18" customHeight="1" x14ac:dyDescent="0.25">
      <c r="A5" s="19" t="s">
        <v>60</v>
      </c>
      <c r="B5" s="8" t="s">
        <v>61</v>
      </c>
      <c r="C5" s="8" t="s">
        <v>62</v>
      </c>
      <c r="D5" s="8" t="s">
        <v>188</v>
      </c>
      <c r="E5" s="40">
        <v>29395</v>
      </c>
      <c r="F5" s="8" t="s">
        <v>189</v>
      </c>
      <c r="G5" s="41">
        <v>43498</v>
      </c>
      <c r="I5" s="39" t="s">
        <v>79</v>
      </c>
      <c r="J5" s="18"/>
      <c r="K5" s="18"/>
      <c r="L5" s="18"/>
      <c r="M5" s="18"/>
      <c r="N5" s="18"/>
      <c r="O5" s="18"/>
      <c r="P5" s="18"/>
      <c r="Q5" s="18"/>
    </row>
    <row r="6" spans="1:18" ht="18" customHeight="1" x14ac:dyDescent="0.25">
      <c r="A6" s="14" t="s">
        <v>64</v>
      </c>
      <c r="B6" s="12" t="s">
        <v>65</v>
      </c>
      <c r="C6" s="12" t="s">
        <v>66</v>
      </c>
      <c r="D6" s="12" t="s">
        <v>190</v>
      </c>
      <c r="E6" s="37">
        <v>84237</v>
      </c>
      <c r="F6" s="12" t="s">
        <v>191</v>
      </c>
      <c r="G6" s="38">
        <v>43893</v>
      </c>
      <c r="I6" s="39" t="s">
        <v>92</v>
      </c>
      <c r="J6" s="18"/>
      <c r="K6" s="18"/>
      <c r="L6" s="18"/>
      <c r="M6" s="18"/>
      <c r="N6" s="18"/>
      <c r="O6" s="18"/>
      <c r="P6" s="18"/>
      <c r="Q6" s="18"/>
    </row>
    <row r="7" spans="1:18" ht="18" customHeight="1" x14ac:dyDescent="0.25">
      <c r="A7" s="19" t="s">
        <v>68</v>
      </c>
      <c r="B7" s="8" t="s">
        <v>69</v>
      </c>
      <c r="C7" s="8" t="s">
        <v>70</v>
      </c>
      <c r="D7" s="8" t="s">
        <v>192</v>
      </c>
      <c r="E7" s="40">
        <v>72987</v>
      </c>
      <c r="F7" s="8" t="s">
        <v>193</v>
      </c>
      <c r="G7" s="41">
        <v>44290</v>
      </c>
      <c r="I7" s="39" t="s">
        <v>102</v>
      </c>
      <c r="J7" s="18"/>
      <c r="K7" s="18"/>
      <c r="L7" s="18"/>
      <c r="M7" s="18"/>
      <c r="N7" s="18"/>
      <c r="O7" s="18"/>
      <c r="P7" s="18"/>
      <c r="Q7" s="18"/>
    </row>
    <row r="8" spans="1:18" ht="18" customHeight="1" x14ac:dyDescent="0.25">
      <c r="A8" s="14" t="s">
        <v>72</v>
      </c>
      <c r="B8" s="12" t="s">
        <v>73</v>
      </c>
      <c r="C8" s="12" t="s">
        <v>74</v>
      </c>
      <c r="D8" s="12" t="s">
        <v>194</v>
      </c>
      <c r="E8" s="37">
        <v>38926</v>
      </c>
      <c r="F8" s="12" t="s">
        <v>195</v>
      </c>
      <c r="G8" s="38">
        <v>44686</v>
      </c>
      <c r="I8" s="39" t="s">
        <v>108</v>
      </c>
      <c r="J8" s="18"/>
      <c r="K8" s="18"/>
      <c r="L8" s="18"/>
      <c r="M8" s="18"/>
      <c r="N8" s="18"/>
      <c r="O8" s="18"/>
      <c r="P8" s="18"/>
      <c r="Q8" s="18"/>
    </row>
    <row r="9" spans="1:18" ht="18" customHeight="1" x14ac:dyDescent="0.25">
      <c r="A9" s="19" t="s">
        <v>75</v>
      </c>
      <c r="B9" s="8" t="s">
        <v>76</v>
      </c>
      <c r="C9" s="8" t="s">
        <v>57</v>
      </c>
      <c r="D9" s="8" t="s">
        <v>188</v>
      </c>
      <c r="E9" s="40">
        <v>62118</v>
      </c>
      <c r="F9" s="8" t="s">
        <v>187</v>
      </c>
      <c r="G9" s="41">
        <v>45083</v>
      </c>
      <c r="I9" s="39" t="s">
        <v>114</v>
      </c>
      <c r="J9" s="18"/>
      <c r="K9" s="18"/>
      <c r="L9" s="18"/>
      <c r="M9" s="18"/>
      <c r="N9" s="18"/>
      <c r="O9" s="18"/>
      <c r="P9" s="18"/>
      <c r="Q9" s="18"/>
    </row>
    <row r="10" spans="1:18" ht="18" customHeight="1" x14ac:dyDescent="0.25">
      <c r="A10" s="14" t="s">
        <v>77</v>
      </c>
      <c r="B10" s="12" t="s">
        <v>78</v>
      </c>
      <c r="C10" s="12" t="s">
        <v>62</v>
      </c>
      <c r="D10" s="12" t="s">
        <v>196</v>
      </c>
      <c r="E10" s="37">
        <v>52671</v>
      </c>
      <c r="F10" s="12" t="s">
        <v>189</v>
      </c>
      <c r="G10" s="38">
        <v>45480</v>
      </c>
      <c r="I10" s="39" t="s">
        <v>55</v>
      </c>
      <c r="J10" s="18"/>
      <c r="K10" s="18"/>
      <c r="L10" s="18"/>
      <c r="M10" s="18"/>
      <c r="N10" s="18"/>
      <c r="O10" s="18"/>
      <c r="P10" s="18"/>
      <c r="Q10" s="18"/>
    </row>
    <row r="11" spans="1:18" ht="18" customHeight="1" x14ac:dyDescent="0.25">
      <c r="A11" s="19" t="s">
        <v>79</v>
      </c>
      <c r="B11" s="8" t="s">
        <v>80</v>
      </c>
      <c r="C11" s="8" t="s">
        <v>66</v>
      </c>
      <c r="D11" s="8" t="s">
        <v>197</v>
      </c>
      <c r="E11" s="40">
        <v>67615</v>
      </c>
      <c r="F11" s="8" t="s">
        <v>191</v>
      </c>
      <c r="G11" s="41">
        <v>43320</v>
      </c>
      <c r="I11" s="39" t="s">
        <v>118</v>
      </c>
      <c r="J11" s="18"/>
      <c r="K11" s="18"/>
      <c r="L11" s="18"/>
      <c r="M11" s="18"/>
      <c r="N11" s="18"/>
      <c r="O11" s="18"/>
      <c r="P11" s="18"/>
      <c r="Q11" s="18"/>
    </row>
    <row r="12" spans="1:18" ht="18" customHeight="1" x14ac:dyDescent="0.25">
      <c r="A12" s="14" t="s">
        <v>82</v>
      </c>
      <c r="B12" s="12" t="s">
        <v>83</v>
      </c>
      <c r="C12" s="12" t="s">
        <v>70</v>
      </c>
      <c r="D12" s="12" t="s">
        <v>198</v>
      </c>
      <c r="E12" s="37">
        <v>65400</v>
      </c>
      <c r="F12" s="12" t="s">
        <v>193</v>
      </c>
      <c r="G12" s="38">
        <v>43717</v>
      </c>
      <c r="I12" s="39" t="s">
        <v>94</v>
      </c>
      <c r="J12" s="18"/>
      <c r="K12" s="18"/>
      <c r="L12" s="18"/>
      <c r="M12" s="18"/>
      <c r="N12" s="18"/>
      <c r="O12" s="18"/>
      <c r="P12" s="18"/>
      <c r="Q12" s="18"/>
    </row>
    <row r="13" spans="1:18" ht="18" customHeight="1" x14ac:dyDescent="0.25">
      <c r="A13" s="19" t="s">
        <v>84</v>
      </c>
      <c r="B13" s="8" t="s">
        <v>85</v>
      </c>
      <c r="C13" s="8" t="s">
        <v>74</v>
      </c>
      <c r="D13" s="8" t="s">
        <v>188</v>
      </c>
      <c r="E13" s="40">
        <v>55930</v>
      </c>
      <c r="F13" s="8" t="s">
        <v>195</v>
      </c>
      <c r="G13" s="41">
        <v>44114</v>
      </c>
      <c r="I13" s="39" t="s">
        <v>124</v>
      </c>
      <c r="J13" s="18"/>
      <c r="K13" s="18"/>
      <c r="L13" s="18"/>
      <c r="M13" s="18"/>
      <c r="N13" s="18"/>
      <c r="O13" s="18"/>
      <c r="P13" s="18"/>
      <c r="Q13" s="18"/>
    </row>
    <row r="14" spans="1:18" ht="18" customHeight="1" x14ac:dyDescent="0.25">
      <c r="A14" s="14" t="s">
        <v>86</v>
      </c>
      <c r="B14" s="12" t="s">
        <v>87</v>
      </c>
      <c r="C14" s="12" t="s">
        <v>57</v>
      </c>
      <c r="D14" s="12" t="s">
        <v>190</v>
      </c>
      <c r="E14" s="37">
        <v>65819</v>
      </c>
      <c r="F14" s="12" t="s">
        <v>187</v>
      </c>
      <c r="G14" s="38">
        <v>44511</v>
      </c>
      <c r="I14" s="39" t="s">
        <v>199</v>
      </c>
      <c r="J14" s="18"/>
      <c r="K14" s="18"/>
      <c r="L14" s="18"/>
      <c r="M14" s="18"/>
      <c r="N14" s="18"/>
      <c r="O14" s="18"/>
      <c r="P14" s="18"/>
      <c r="Q14" s="18"/>
    </row>
    <row r="15" spans="1:18" ht="18" customHeight="1" x14ac:dyDescent="0.25">
      <c r="A15" s="19" t="s">
        <v>88</v>
      </c>
      <c r="B15" s="8" t="s">
        <v>89</v>
      </c>
      <c r="C15" s="8" t="s">
        <v>62</v>
      </c>
      <c r="D15" s="8" t="s">
        <v>197</v>
      </c>
      <c r="E15" s="40">
        <v>27358</v>
      </c>
      <c r="F15" s="8" t="s">
        <v>189</v>
      </c>
      <c r="G15" s="41">
        <v>44907</v>
      </c>
    </row>
    <row r="16" spans="1:18" ht="18" customHeight="1" x14ac:dyDescent="0.25">
      <c r="A16" s="14" t="s">
        <v>90</v>
      </c>
      <c r="B16" s="12" t="s">
        <v>91</v>
      </c>
      <c r="C16" s="12" t="s">
        <v>66</v>
      </c>
      <c r="D16" s="12" t="s">
        <v>186</v>
      </c>
      <c r="E16" s="37">
        <v>78589</v>
      </c>
      <c r="F16" s="12" t="s">
        <v>191</v>
      </c>
      <c r="G16" s="38">
        <v>44939</v>
      </c>
    </row>
    <row r="17" spans="1:17" ht="25.5" customHeight="1" x14ac:dyDescent="0.25">
      <c r="A17" s="50" t="s">
        <v>200</v>
      </c>
      <c r="B17" s="49"/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  <c r="O17" s="49"/>
      <c r="P17" s="49"/>
      <c r="Q17" s="52"/>
    </row>
    <row r="18" spans="1:17" ht="30" customHeight="1" x14ac:dyDescent="0.25">
      <c r="A18" s="23" t="s">
        <v>201</v>
      </c>
      <c r="B18" s="48" t="s">
        <v>322</v>
      </c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  <c r="O18" s="49"/>
      <c r="P18" s="49"/>
      <c r="Q18" s="52"/>
    </row>
    <row r="19" spans="1:17" ht="30" customHeight="1" x14ac:dyDescent="0.25">
      <c r="A19" s="23" t="s">
        <v>202</v>
      </c>
      <c r="B19" s="48" t="s">
        <v>322</v>
      </c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52"/>
    </row>
    <row r="20" spans="1:17" ht="30" customHeight="1" x14ac:dyDescent="0.25">
      <c r="A20" s="23" t="s">
        <v>203</v>
      </c>
      <c r="B20" s="48" t="s">
        <v>322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52"/>
    </row>
    <row r="21" spans="1:17" ht="30" customHeight="1" x14ac:dyDescent="0.25">
      <c r="A21" s="23" t="s">
        <v>204</v>
      </c>
      <c r="B21" s="48" t="s">
        <v>322</v>
      </c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52"/>
    </row>
    <row r="22" spans="1:17" ht="30" customHeight="1" x14ac:dyDescent="0.25">
      <c r="A22" s="23" t="s">
        <v>205</v>
      </c>
      <c r="B22" s="48" t="s">
        <v>322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52"/>
    </row>
    <row r="23" spans="1:17" ht="30" customHeight="1" x14ac:dyDescent="0.25">
      <c r="A23" s="23" t="s">
        <v>206</v>
      </c>
      <c r="B23" s="48" t="s">
        <v>322</v>
      </c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  <c r="O23" s="49"/>
      <c r="P23" s="49"/>
      <c r="Q23" s="52"/>
    </row>
    <row r="24" spans="1:17" ht="30" customHeight="1" x14ac:dyDescent="0.25">
      <c r="A24" s="23" t="s">
        <v>207</v>
      </c>
      <c r="B24" s="48" t="e">
        <f>INDEX($B$4:$B$33, MATCH(I4,$A$4:$A$33,0))  drag to p14.</f>
        <v>#NAME?</v>
      </c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  <c r="O24" s="49"/>
      <c r="P24" s="49"/>
      <c r="Q24" s="52"/>
    </row>
    <row r="25" spans="1:17" ht="30" customHeight="1" x14ac:dyDescent="0.25">
      <c r="A25" s="23" t="s">
        <v>208</v>
      </c>
      <c r="B25" s="48" t="e">
        <f>INDEX($D$4:$D$33, MATCH(I4,$A$4:$A$33,0))  drag to q14.</f>
        <v>#NAME?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52"/>
    </row>
    <row r="26" spans="1:17" ht="30" customHeight="1" x14ac:dyDescent="0.25">
      <c r="A26" s="23" t="s">
        <v>209</v>
      </c>
      <c r="B26" s="48" t="s">
        <v>210</v>
      </c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  <c r="O26" s="49"/>
      <c r="P26" s="49"/>
      <c r="Q26" s="52"/>
    </row>
    <row r="27" spans="1:17" ht="18" customHeight="1" x14ac:dyDescent="0.25">
      <c r="A27" s="19" t="s">
        <v>112</v>
      </c>
      <c r="B27" s="8" t="s">
        <v>113</v>
      </c>
      <c r="C27" s="8" t="s">
        <v>70</v>
      </c>
      <c r="D27" s="8" t="s">
        <v>197</v>
      </c>
      <c r="E27" s="40">
        <v>38032</v>
      </c>
      <c r="F27" s="8" t="s">
        <v>193</v>
      </c>
      <c r="G27" s="41">
        <v>44189</v>
      </c>
    </row>
    <row r="28" spans="1:17" ht="18" customHeight="1" x14ac:dyDescent="0.25">
      <c r="A28" s="14" t="s">
        <v>114</v>
      </c>
      <c r="B28" s="12" t="s">
        <v>115</v>
      </c>
      <c r="C28" s="12" t="s">
        <v>74</v>
      </c>
      <c r="D28" s="12" t="s">
        <v>194</v>
      </c>
      <c r="E28" s="37">
        <v>82042</v>
      </c>
      <c r="F28" s="12" t="s">
        <v>195</v>
      </c>
      <c r="G28" s="38">
        <v>44221</v>
      </c>
    </row>
    <row r="29" spans="1:17" ht="18" customHeight="1" x14ac:dyDescent="0.25">
      <c r="A29" s="19" t="s">
        <v>116</v>
      </c>
      <c r="B29" s="8" t="s">
        <v>117</v>
      </c>
      <c r="C29" s="8" t="s">
        <v>57</v>
      </c>
      <c r="D29" s="8" t="s">
        <v>188</v>
      </c>
      <c r="E29" s="40">
        <v>28322</v>
      </c>
      <c r="F29" s="8" t="s">
        <v>187</v>
      </c>
      <c r="G29" s="41">
        <v>44618</v>
      </c>
    </row>
    <row r="30" spans="1:17" ht="18" customHeight="1" x14ac:dyDescent="0.25">
      <c r="A30" s="14" t="s">
        <v>118</v>
      </c>
      <c r="B30" s="12" t="s">
        <v>119</v>
      </c>
      <c r="C30" s="12" t="s">
        <v>62</v>
      </c>
      <c r="D30" s="12" t="s">
        <v>211</v>
      </c>
      <c r="E30" s="37">
        <v>34483</v>
      </c>
      <c r="F30" s="12" t="s">
        <v>189</v>
      </c>
      <c r="G30" s="38">
        <v>45012</v>
      </c>
    </row>
    <row r="31" spans="1:17" ht="18" customHeight="1" x14ac:dyDescent="0.25">
      <c r="A31" s="19" t="s">
        <v>120</v>
      </c>
      <c r="B31" s="8" t="s">
        <v>121</v>
      </c>
      <c r="C31" s="8" t="s">
        <v>66</v>
      </c>
      <c r="D31" s="8" t="s">
        <v>197</v>
      </c>
      <c r="E31" s="40">
        <v>73461</v>
      </c>
      <c r="F31" s="8" t="s">
        <v>191</v>
      </c>
      <c r="G31" s="41">
        <v>45410</v>
      </c>
    </row>
    <row r="32" spans="1:17" ht="18" customHeight="1" x14ac:dyDescent="0.25">
      <c r="A32" s="14" t="s">
        <v>122</v>
      </c>
      <c r="B32" s="12" t="s">
        <v>123</v>
      </c>
      <c r="C32" s="12" t="s">
        <v>70</v>
      </c>
      <c r="D32" s="12" t="s">
        <v>194</v>
      </c>
      <c r="E32" s="37">
        <v>58857</v>
      </c>
      <c r="F32" s="12" t="s">
        <v>193</v>
      </c>
      <c r="G32" s="38">
        <v>43221</v>
      </c>
    </row>
    <row r="33" spans="1:7" ht="18" customHeight="1" x14ac:dyDescent="0.25">
      <c r="A33" s="19" t="s">
        <v>124</v>
      </c>
      <c r="B33" s="8" t="s">
        <v>125</v>
      </c>
      <c r="C33" s="8" t="s">
        <v>74</v>
      </c>
      <c r="D33" s="8" t="s">
        <v>188</v>
      </c>
      <c r="E33" s="40">
        <v>77177</v>
      </c>
      <c r="F33" s="8" t="s">
        <v>195</v>
      </c>
      <c r="G33" s="41">
        <v>43618</v>
      </c>
    </row>
    <row r="34" spans="1:7" ht="15.75" customHeight="1" x14ac:dyDescent="0.25"/>
    <row r="35" spans="1:7" ht="15.75" customHeight="1" x14ac:dyDescent="0.25"/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B20:Q20"/>
    <mergeCell ref="B21:Q21"/>
    <mergeCell ref="A1:R1"/>
    <mergeCell ref="A2:R2"/>
    <mergeCell ref="A17:Q17"/>
    <mergeCell ref="B18:Q18"/>
    <mergeCell ref="B19:Q19"/>
    <mergeCell ref="B22:Q22"/>
    <mergeCell ref="B23:Q23"/>
    <mergeCell ref="B24:Q24"/>
    <mergeCell ref="B25:Q25"/>
    <mergeCell ref="B26:Q26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000"/>
  <sheetViews>
    <sheetView showGridLines="0" workbookViewId="0">
      <selection activeCell="Q5" sqref="Q5"/>
    </sheetView>
  </sheetViews>
  <sheetFormatPr defaultColWidth="14.42578125" defaultRowHeight="15" customHeight="1" x14ac:dyDescent="0.25"/>
  <cols>
    <col min="1" max="1" width="16" customWidth="1"/>
    <col min="2" max="13" width="10" customWidth="1"/>
    <col min="14" max="15" width="20" customWidth="1"/>
    <col min="16" max="26" width="8.7109375" customWidth="1"/>
  </cols>
  <sheetData>
    <row r="1" spans="1:17" ht="33.75" customHeight="1" x14ac:dyDescent="0.25">
      <c r="A1" s="53" t="s">
        <v>212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6"/>
    </row>
    <row r="2" spans="1:17" ht="19.5" customHeight="1" x14ac:dyDescent="0.25">
      <c r="A2" s="47" t="s">
        <v>213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6"/>
    </row>
    <row r="3" spans="1:17" x14ac:dyDescent="0.25">
      <c r="A3" s="11" t="s">
        <v>214</v>
      </c>
      <c r="B3" s="30" t="s">
        <v>215</v>
      </c>
      <c r="C3" s="30" t="s">
        <v>216</v>
      </c>
      <c r="D3" s="30" t="s">
        <v>217</v>
      </c>
      <c r="E3" s="30" t="s">
        <v>218</v>
      </c>
      <c r="F3" s="30" t="s">
        <v>219</v>
      </c>
      <c r="G3" s="30" t="s">
        <v>220</v>
      </c>
      <c r="H3" s="30" t="s">
        <v>221</v>
      </c>
      <c r="I3" s="30" t="s">
        <v>222</v>
      </c>
      <c r="J3" s="30" t="s">
        <v>223</v>
      </c>
      <c r="K3" s="30" t="s">
        <v>224</v>
      </c>
      <c r="L3" s="30" t="s">
        <v>225</v>
      </c>
      <c r="M3" s="30" t="s">
        <v>226</v>
      </c>
      <c r="Q3" t="s">
        <v>323</v>
      </c>
    </row>
    <row r="4" spans="1:17" ht="21.75" customHeight="1" x14ac:dyDescent="0.25">
      <c r="A4" s="5" t="s">
        <v>227</v>
      </c>
      <c r="B4" s="37">
        <v>46309</v>
      </c>
      <c r="C4" s="37">
        <v>46119</v>
      </c>
      <c r="D4" s="37">
        <v>44639</v>
      </c>
      <c r="E4" s="37">
        <v>47910</v>
      </c>
      <c r="F4" s="37">
        <v>44464</v>
      </c>
      <c r="G4" s="37">
        <v>44886</v>
      </c>
      <c r="H4" s="37">
        <v>45035</v>
      </c>
      <c r="I4" s="37">
        <v>44091</v>
      </c>
      <c r="J4" s="37">
        <v>43709</v>
      </c>
      <c r="K4" s="37">
        <v>45057</v>
      </c>
      <c r="L4" s="37">
        <v>46138</v>
      </c>
      <c r="M4" s="37">
        <v>47348</v>
      </c>
      <c r="N4">
        <f>HLOOKUP("Jun",$A$3:$M$8,2,FALSE)</f>
        <v>44886</v>
      </c>
      <c r="Q4" t="e">
        <f>HLOOKUP(Q3,$A$3:$M$8,3,FALSE)</f>
        <v>#N/A</v>
      </c>
    </row>
    <row r="5" spans="1:17" ht="21.75" customHeight="1" x14ac:dyDescent="0.25">
      <c r="A5" s="5" t="s">
        <v>228</v>
      </c>
      <c r="B5" s="40">
        <v>20412</v>
      </c>
      <c r="C5" s="40">
        <v>16735</v>
      </c>
      <c r="D5" s="40">
        <v>20008</v>
      </c>
      <c r="E5" s="40">
        <v>17634</v>
      </c>
      <c r="F5" s="40">
        <v>19454</v>
      </c>
      <c r="G5" s="40">
        <v>20820</v>
      </c>
      <c r="H5" s="40">
        <v>17775</v>
      </c>
      <c r="I5" s="40">
        <v>19063</v>
      </c>
      <c r="J5" s="40">
        <v>19179</v>
      </c>
      <c r="K5" s="40">
        <v>17741</v>
      </c>
      <c r="L5" s="40">
        <v>17247</v>
      </c>
      <c r="M5" s="40">
        <v>19780</v>
      </c>
      <c r="N5">
        <f>HLOOKUP("Sep",$A$3:$M$8,4,FALSE)</f>
        <v>26298</v>
      </c>
    </row>
    <row r="6" spans="1:17" ht="21.75" customHeight="1" x14ac:dyDescent="0.25">
      <c r="A6" s="5" t="s">
        <v>229</v>
      </c>
      <c r="B6" s="37">
        <v>24466</v>
      </c>
      <c r="C6" s="37">
        <v>27644</v>
      </c>
      <c r="D6" s="37">
        <v>25775</v>
      </c>
      <c r="E6" s="37">
        <v>23679</v>
      </c>
      <c r="F6" s="37">
        <v>27331</v>
      </c>
      <c r="G6" s="37">
        <v>23719</v>
      </c>
      <c r="H6" s="37">
        <v>26842</v>
      </c>
      <c r="I6" s="37">
        <v>25591</v>
      </c>
      <c r="J6" s="37">
        <v>26298</v>
      </c>
      <c r="K6" s="37">
        <v>23349</v>
      </c>
      <c r="L6" s="37">
        <v>25206</v>
      </c>
      <c r="M6" s="37">
        <v>27570</v>
      </c>
    </row>
    <row r="7" spans="1:17" ht="21.75" customHeight="1" x14ac:dyDescent="0.25">
      <c r="A7" s="5" t="s">
        <v>230</v>
      </c>
      <c r="B7" s="40">
        <v>1562</v>
      </c>
      <c r="C7" s="40">
        <v>4983</v>
      </c>
      <c r="D7" s="40">
        <v>3169</v>
      </c>
      <c r="E7" s="40">
        <v>4469</v>
      </c>
      <c r="F7" s="40">
        <v>5877</v>
      </c>
      <c r="G7" s="40">
        <v>2162</v>
      </c>
      <c r="H7" s="40">
        <v>5285</v>
      </c>
      <c r="I7" s="40">
        <v>5748</v>
      </c>
      <c r="J7" s="40">
        <v>3122</v>
      </c>
      <c r="K7" s="40">
        <v>6460</v>
      </c>
      <c r="L7" s="40">
        <v>5290</v>
      </c>
      <c r="M7" s="40">
        <v>1920</v>
      </c>
    </row>
    <row r="8" spans="1:17" ht="21.75" customHeight="1" x14ac:dyDescent="0.25">
      <c r="A8" s="5" t="s">
        <v>231</v>
      </c>
      <c r="B8" s="37">
        <v>8928</v>
      </c>
      <c r="C8" s="37">
        <v>7057</v>
      </c>
      <c r="D8" s="37">
        <v>7768</v>
      </c>
      <c r="E8" s="37">
        <v>7317</v>
      </c>
      <c r="F8" s="37">
        <v>9618</v>
      </c>
      <c r="G8" s="37">
        <v>10877</v>
      </c>
      <c r="H8" s="37">
        <v>7455</v>
      </c>
      <c r="I8" s="37">
        <v>10122</v>
      </c>
      <c r="J8" s="37">
        <v>7441</v>
      </c>
      <c r="K8" s="37">
        <v>6303</v>
      </c>
      <c r="L8" s="37">
        <v>6899</v>
      </c>
      <c r="M8" s="37">
        <v>6190</v>
      </c>
    </row>
    <row r="10" spans="1:17" ht="25.5" customHeight="1" x14ac:dyDescent="0.25">
      <c r="A10" s="50" t="s">
        <v>232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6"/>
    </row>
    <row r="11" spans="1:17" ht="30" customHeight="1" x14ac:dyDescent="0.25">
      <c r="A11" s="23" t="s">
        <v>233</v>
      </c>
      <c r="B11" s="48" t="s">
        <v>234</v>
      </c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6"/>
    </row>
    <row r="12" spans="1:17" ht="30" customHeight="1" x14ac:dyDescent="0.25">
      <c r="A12" s="23" t="s">
        <v>235</v>
      </c>
      <c r="B12" s="48" t="s">
        <v>236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6"/>
    </row>
    <row r="13" spans="1:17" ht="30" customHeight="1" x14ac:dyDescent="0.25">
      <c r="A13" s="23" t="s">
        <v>237</v>
      </c>
      <c r="B13" s="48" t="s">
        <v>238</v>
      </c>
      <c r="C13" s="49"/>
      <c r="D13" s="49"/>
      <c r="E13" s="49"/>
      <c r="F13" s="49"/>
      <c r="G13" s="49"/>
      <c r="H13" s="49"/>
      <c r="I13" s="49"/>
      <c r="J13" s="49"/>
      <c r="K13" s="49"/>
      <c r="L13" s="49"/>
      <c r="M13" s="49"/>
      <c r="N13" s="49"/>
      <c r="O13" s="46"/>
    </row>
    <row r="14" spans="1:17" ht="30" customHeight="1" x14ac:dyDescent="0.25">
      <c r="A14" s="23" t="s">
        <v>239</v>
      </c>
      <c r="B14" s="48" t="str">
        <f>IFERROR(HLOOKUP("Monsoon",$A$3:$M$7,2,FALSE()),"Month not found")</f>
        <v>Month not found</v>
      </c>
      <c r="C14" s="49"/>
      <c r="D14" s="49"/>
      <c r="E14" s="49"/>
      <c r="F14" s="49"/>
      <c r="G14" s="49"/>
      <c r="H14" s="49"/>
      <c r="I14" s="49"/>
      <c r="J14" s="49"/>
      <c r="K14" s="49"/>
      <c r="L14" s="49"/>
      <c r="M14" s="49"/>
      <c r="N14" s="49"/>
      <c r="O14" s="46"/>
    </row>
    <row r="16" spans="1:17" ht="27.75" customHeight="1" x14ac:dyDescent="0.25">
      <c r="A16" s="54" t="s">
        <v>240</v>
      </c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6"/>
    </row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13:O13"/>
    <mergeCell ref="B14:O14"/>
    <mergeCell ref="A16:O16"/>
    <mergeCell ref="A1:O1"/>
    <mergeCell ref="A2:O2"/>
    <mergeCell ref="A10:O10"/>
    <mergeCell ref="B11:O11"/>
    <mergeCell ref="B12:O1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00"/>
  <sheetViews>
    <sheetView showGridLines="0" topLeftCell="A12" workbookViewId="0">
      <selection sqref="A1:G1"/>
    </sheetView>
  </sheetViews>
  <sheetFormatPr defaultColWidth="14.42578125" defaultRowHeight="15" customHeight="1" x14ac:dyDescent="0.25"/>
  <cols>
    <col min="1" max="1" width="14" customWidth="1"/>
    <col min="2" max="2" width="22" customWidth="1"/>
    <col min="3" max="4" width="12" customWidth="1"/>
    <col min="5" max="5" width="20" customWidth="1"/>
    <col min="6" max="7" width="30" customWidth="1"/>
    <col min="8" max="26" width="8.7109375" customWidth="1"/>
  </cols>
  <sheetData>
    <row r="1" spans="1:7" ht="33.75" customHeight="1" x14ac:dyDescent="0.25">
      <c r="A1" s="55" t="s">
        <v>241</v>
      </c>
      <c r="B1" s="49"/>
      <c r="C1" s="49"/>
      <c r="D1" s="49"/>
      <c r="E1" s="49"/>
      <c r="F1" s="49"/>
      <c r="G1" s="46"/>
    </row>
    <row r="2" spans="1:7" ht="19.5" customHeight="1" x14ac:dyDescent="0.25">
      <c r="A2" s="47" t="s">
        <v>242</v>
      </c>
      <c r="B2" s="49"/>
      <c r="C2" s="49"/>
      <c r="D2" s="49"/>
      <c r="E2" s="49"/>
      <c r="F2" s="49"/>
      <c r="G2" s="46"/>
    </row>
    <row r="3" spans="1:7" ht="24" customHeight="1" x14ac:dyDescent="0.25">
      <c r="A3" s="42" t="s">
        <v>175</v>
      </c>
      <c r="B3" s="42" t="s">
        <v>243</v>
      </c>
      <c r="C3" s="42" t="s">
        <v>45</v>
      </c>
      <c r="D3" s="42" t="s">
        <v>244</v>
      </c>
      <c r="E3" s="42" t="s">
        <v>245</v>
      </c>
    </row>
    <row r="4" spans="1:7" ht="19.5" customHeight="1" x14ac:dyDescent="0.25">
      <c r="A4" s="14" t="s">
        <v>187</v>
      </c>
      <c r="B4" s="12" t="s">
        <v>65</v>
      </c>
      <c r="C4" s="12" t="s">
        <v>58</v>
      </c>
      <c r="D4" s="12" t="s">
        <v>62</v>
      </c>
      <c r="E4" s="12" t="s">
        <v>246</v>
      </c>
    </row>
    <row r="5" spans="1:7" ht="19.5" customHeight="1" x14ac:dyDescent="0.25">
      <c r="A5" s="19" t="s">
        <v>189</v>
      </c>
      <c r="B5" s="8" t="s">
        <v>69</v>
      </c>
      <c r="C5" s="8" t="s">
        <v>63</v>
      </c>
      <c r="D5" s="8" t="s">
        <v>66</v>
      </c>
      <c r="E5" s="8" t="s">
        <v>247</v>
      </c>
    </row>
    <row r="6" spans="1:7" ht="19.5" customHeight="1" x14ac:dyDescent="0.25">
      <c r="A6" s="14" t="s">
        <v>191</v>
      </c>
      <c r="B6" s="12" t="s">
        <v>73</v>
      </c>
      <c r="C6" s="12" t="s">
        <v>67</v>
      </c>
      <c r="D6" s="12" t="s">
        <v>70</v>
      </c>
      <c r="E6" s="12" t="s">
        <v>248</v>
      </c>
    </row>
    <row r="7" spans="1:7" ht="19.5" customHeight="1" x14ac:dyDescent="0.25">
      <c r="A7" s="19" t="s">
        <v>193</v>
      </c>
      <c r="B7" s="8" t="s">
        <v>80</v>
      </c>
      <c r="C7" s="8" t="s">
        <v>71</v>
      </c>
      <c r="D7" s="8" t="s">
        <v>57</v>
      </c>
      <c r="E7" s="8" t="s">
        <v>249</v>
      </c>
    </row>
    <row r="8" spans="1:7" ht="19.5" customHeight="1" x14ac:dyDescent="0.25">
      <c r="A8" s="14" t="s">
        <v>195</v>
      </c>
      <c r="B8" s="12" t="s">
        <v>83</v>
      </c>
      <c r="C8" s="12" t="s">
        <v>58</v>
      </c>
      <c r="D8" s="12" t="s">
        <v>74</v>
      </c>
      <c r="E8" s="12" t="s">
        <v>250</v>
      </c>
    </row>
    <row r="9" spans="1:7" ht="19.5" customHeight="1" x14ac:dyDescent="0.25">
      <c r="A9" s="19" t="s">
        <v>251</v>
      </c>
      <c r="B9" s="8" t="s">
        <v>85</v>
      </c>
      <c r="C9" s="8" t="s">
        <v>63</v>
      </c>
      <c r="D9" s="8" t="s">
        <v>62</v>
      </c>
      <c r="E9" s="8" t="s">
        <v>252</v>
      </c>
    </row>
    <row r="10" spans="1:7" ht="19.5" customHeight="1" x14ac:dyDescent="0.25">
      <c r="A10" s="14" t="s">
        <v>253</v>
      </c>
      <c r="B10" s="12" t="s">
        <v>87</v>
      </c>
      <c r="C10" s="12" t="s">
        <v>67</v>
      </c>
      <c r="D10" s="12" t="s">
        <v>66</v>
      </c>
      <c r="E10" s="12" t="s">
        <v>254</v>
      </c>
    </row>
    <row r="11" spans="1:7" ht="19.5" customHeight="1" x14ac:dyDescent="0.25">
      <c r="A11" s="19" t="s">
        <v>255</v>
      </c>
      <c r="B11" s="8" t="s">
        <v>89</v>
      </c>
      <c r="C11" s="8" t="s">
        <v>71</v>
      </c>
      <c r="D11" s="8" t="s">
        <v>70</v>
      </c>
      <c r="E11" s="8" t="s">
        <v>256</v>
      </c>
    </row>
    <row r="12" spans="1:7" ht="19.5" customHeight="1" x14ac:dyDescent="0.25">
      <c r="A12" s="14" t="s">
        <v>257</v>
      </c>
      <c r="B12" s="12" t="s">
        <v>91</v>
      </c>
      <c r="C12" s="12" t="s">
        <v>58</v>
      </c>
      <c r="D12" s="12" t="s">
        <v>57</v>
      </c>
      <c r="E12" s="12" t="s">
        <v>258</v>
      </c>
    </row>
    <row r="13" spans="1:7" ht="19.5" customHeight="1" x14ac:dyDescent="0.25">
      <c r="A13" s="19" t="s">
        <v>259</v>
      </c>
      <c r="B13" s="8" t="s">
        <v>93</v>
      </c>
      <c r="C13" s="8" t="s">
        <v>63</v>
      </c>
      <c r="D13" s="8" t="s">
        <v>74</v>
      </c>
      <c r="E13" s="8" t="s">
        <v>260</v>
      </c>
    </row>
    <row r="16" spans="1:7" ht="25.5" customHeight="1" x14ac:dyDescent="0.25">
      <c r="A16" s="50" t="s">
        <v>261</v>
      </c>
      <c r="B16" s="49"/>
      <c r="C16" s="49"/>
      <c r="D16" s="49"/>
      <c r="E16" s="49"/>
      <c r="F16" s="49"/>
      <c r="G16" s="46"/>
    </row>
    <row r="17" spans="1:7" ht="30" customHeight="1" x14ac:dyDescent="0.25">
      <c r="A17" s="23" t="s">
        <v>262</v>
      </c>
      <c r="B17" s="48" t="s">
        <v>322</v>
      </c>
      <c r="C17" s="49"/>
      <c r="D17" s="49"/>
      <c r="E17" s="49"/>
      <c r="F17" s="49"/>
      <c r="G17" s="46"/>
    </row>
    <row r="18" spans="1:7" ht="30" customHeight="1" x14ac:dyDescent="0.25">
      <c r="A18" s="23" t="s">
        <v>263</v>
      </c>
      <c r="B18" s="48" t="s">
        <v>322</v>
      </c>
      <c r="C18" s="49"/>
      <c r="D18" s="49"/>
      <c r="E18" s="49"/>
      <c r="F18" s="49"/>
      <c r="G18" s="46"/>
    </row>
    <row r="19" spans="1:7" ht="30" customHeight="1" x14ac:dyDescent="0.25">
      <c r="A19" s="23" t="s">
        <v>264</v>
      </c>
      <c r="B19" s="48" t="e">
        <f>INDEX(C4:C13,MATCH("M003",A4:A13,0))  → Region for M3</f>
        <v>#NAME?</v>
      </c>
      <c r="C19" s="49"/>
      <c r="D19" s="49"/>
      <c r="E19" s="49"/>
      <c r="F19" s="49"/>
      <c r="G19" s="46"/>
    </row>
    <row r="20" spans="1:7" ht="30" customHeight="1" x14ac:dyDescent="0.25">
      <c r="A20" s="23" t="s">
        <v>265</v>
      </c>
      <c r="B20" s="48" t="s">
        <v>322</v>
      </c>
      <c r="C20" s="49"/>
      <c r="D20" s="49"/>
      <c r="E20" s="49"/>
      <c r="F20" s="49"/>
      <c r="G20" s="46"/>
    </row>
    <row r="21" spans="1:7" ht="30" customHeight="1" x14ac:dyDescent="0.25">
      <c r="A21" s="23" t="s">
        <v>266</v>
      </c>
      <c r="B21" s="48" t="s">
        <v>267</v>
      </c>
      <c r="C21" s="49"/>
      <c r="D21" s="49"/>
      <c r="E21" s="49"/>
      <c r="F21" s="49"/>
      <c r="G21" s="46"/>
    </row>
    <row r="22" spans="1:7" ht="15.75" customHeight="1" x14ac:dyDescent="0.25"/>
    <row r="23" spans="1:7" ht="15.75" customHeight="1" x14ac:dyDescent="0.25"/>
    <row r="24" spans="1:7" ht="15.75" customHeight="1" x14ac:dyDescent="0.25"/>
    <row r="25" spans="1:7" ht="15.75" customHeight="1" x14ac:dyDescent="0.25"/>
    <row r="26" spans="1:7" ht="15.75" customHeight="1" x14ac:dyDescent="0.25"/>
    <row r="27" spans="1:7" ht="15.75" customHeight="1" x14ac:dyDescent="0.25"/>
    <row r="28" spans="1:7" ht="15.75" customHeight="1" x14ac:dyDescent="0.25"/>
    <row r="29" spans="1:7" ht="15.75" customHeight="1" x14ac:dyDescent="0.25"/>
    <row r="30" spans="1:7" ht="15.75" customHeight="1" x14ac:dyDescent="0.25"/>
    <row r="31" spans="1:7" ht="15.75" customHeight="1" x14ac:dyDescent="0.25"/>
    <row r="32" spans="1:7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19:G19"/>
    <mergeCell ref="B20:G20"/>
    <mergeCell ref="B21:G21"/>
    <mergeCell ref="A1:G1"/>
    <mergeCell ref="A2:G2"/>
    <mergeCell ref="A16:G16"/>
    <mergeCell ref="B17:G17"/>
    <mergeCell ref="B18:G18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V1000"/>
  <sheetViews>
    <sheetView showGridLines="0" topLeftCell="A39" workbookViewId="0">
      <selection sqref="A1:R1"/>
    </sheetView>
  </sheetViews>
  <sheetFormatPr defaultColWidth="14.42578125" defaultRowHeight="15" customHeight="1" x14ac:dyDescent="0.25"/>
  <cols>
    <col min="1" max="1" width="10" customWidth="1"/>
    <col min="2" max="2" width="22" customWidth="1"/>
    <col min="3" max="3" width="12" customWidth="1"/>
    <col min="4" max="4" width="14" customWidth="1"/>
    <col min="5" max="6" width="18" customWidth="1"/>
    <col min="7" max="7" width="12" customWidth="1"/>
    <col min="8" max="8" width="10" customWidth="1"/>
    <col min="9" max="22" width="20" customWidth="1"/>
    <col min="23" max="26" width="8.7109375" customWidth="1"/>
  </cols>
  <sheetData>
    <row r="1" spans="1:22" ht="33.75" customHeight="1" x14ac:dyDescent="0.25">
      <c r="A1" s="56" t="s">
        <v>268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6"/>
    </row>
    <row r="2" spans="1:22" ht="19.5" customHeight="1" x14ac:dyDescent="0.25">
      <c r="A2" s="47" t="s">
        <v>269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6"/>
    </row>
    <row r="3" spans="1:22" ht="24" customHeight="1" x14ac:dyDescent="0.25">
      <c r="A3" s="31" t="s">
        <v>38</v>
      </c>
      <c r="B3" s="31" t="s">
        <v>39</v>
      </c>
      <c r="C3" s="31" t="s">
        <v>40</v>
      </c>
      <c r="D3" s="31" t="s">
        <v>176</v>
      </c>
      <c r="E3" s="31" t="s">
        <v>270</v>
      </c>
      <c r="F3" s="31" t="s">
        <v>271</v>
      </c>
      <c r="G3" s="31" t="s">
        <v>43</v>
      </c>
      <c r="H3" s="31" t="s">
        <v>45</v>
      </c>
      <c r="I3" s="13" t="s">
        <v>44</v>
      </c>
      <c r="J3" s="13" t="s">
        <v>272</v>
      </c>
      <c r="K3" s="13" t="s">
        <v>273</v>
      </c>
      <c r="L3" s="13" t="s">
        <v>274</v>
      </c>
      <c r="M3" s="13" t="s">
        <v>275</v>
      </c>
      <c r="N3" s="13" t="s">
        <v>276</v>
      </c>
      <c r="O3" s="13" t="s">
        <v>277</v>
      </c>
      <c r="P3" s="13" t="s">
        <v>278</v>
      </c>
      <c r="Q3" s="13" t="s">
        <v>279</v>
      </c>
      <c r="R3" s="13" t="s">
        <v>280</v>
      </c>
      <c r="S3" s="13" t="s">
        <v>281</v>
      </c>
      <c r="T3" s="13" t="s">
        <v>282</v>
      </c>
      <c r="U3" s="13" t="s">
        <v>283</v>
      </c>
      <c r="V3" s="13" t="s">
        <v>284</v>
      </c>
    </row>
    <row r="4" spans="1:22" ht="18" customHeight="1" x14ac:dyDescent="0.25">
      <c r="A4" s="14" t="s">
        <v>55</v>
      </c>
      <c r="B4" s="12" t="s">
        <v>56</v>
      </c>
      <c r="C4" s="12" t="s">
        <v>57</v>
      </c>
      <c r="D4" s="38">
        <v>43101</v>
      </c>
      <c r="E4" s="38">
        <v>46234</v>
      </c>
      <c r="F4" s="38">
        <v>46066</v>
      </c>
      <c r="G4" s="37">
        <v>54048</v>
      </c>
      <c r="H4" s="12" t="s">
        <v>58</v>
      </c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</row>
    <row r="5" spans="1:22" ht="18" customHeight="1" x14ac:dyDescent="0.25">
      <c r="A5" s="19" t="s">
        <v>60</v>
      </c>
      <c r="B5" s="8" t="s">
        <v>61</v>
      </c>
      <c r="C5" s="8" t="s">
        <v>62</v>
      </c>
      <c r="D5" s="41">
        <v>43561</v>
      </c>
      <c r="E5" s="41">
        <v>46253</v>
      </c>
      <c r="F5" s="41">
        <v>46055</v>
      </c>
      <c r="G5" s="40">
        <v>29395</v>
      </c>
      <c r="H5" s="8" t="s">
        <v>63</v>
      </c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</row>
    <row r="6" spans="1:22" ht="18" customHeight="1" x14ac:dyDescent="0.25">
      <c r="A6" s="14" t="s">
        <v>64</v>
      </c>
      <c r="B6" s="12" t="s">
        <v>65</v>
      </c>
      <c r="C6" s="12" t="s">
        <v>66</v>
      </c>
      <c r="D6" s="38">
        <v>44023</v>
      </c>
      <c r="E6" s="38">
        <v>46220</v>
      </c>
      <c r="F6" s="38">
        <v>46072</v>
      </c>
      <c r="G6" s="37">
        <v>84237</v>
      </c>
      <c r="H6" s="12" t="s">
        <v>67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</row>
    <row r="7" spans="1:22" ht="18" customHeight="1" x14ac:dyDescent="0.25">
      <c r="A7" s="19" t="s">
        <v>68</v>
      </c>
      <c r="B7" s="8" t="s">
        <v>69</v>
      </c>
      <c r="C7" s="8" t="s">
        <v>70</v>
      </c>
      <c r="D7" s="41">
        <v>44485</v>
      </c>
      <c r="E7" s="41">
        <v>46231</v>
      </c>
      <c r="F7" s="41">
        <v>46134</v>
      </c>
      <c r="G7" s="40">
        <v>72987</v>
      </c>
      <c r="H7" s="8" t="s">
        <v>71</v>
      </c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</row>
    <row r="8" spans="1:22" ht="18" customHeight="1" x14ac:dyDescent="0.25">
      <c r="A8" s="14" t="s">
        <v>72</v>
      </c>
      <c r="B8" s="12" t="s">
        <v>73</v>
      </c>
      <c r="C8" s="12" t="s">
        <v>74</v>
      </c>
      <c r="D8" s="38">
        <v>44582</v>
      </c>
      <c r="E8" s="38">
        <v>46219</v>
      </c>
      <c r="F8" s="38">
        <v>46129</v>
      </c>
      <c r="G8" s="37">
        <v>38926</v>
      </c>
      <c r="H8" s="12" t="s">
        <v>58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</row>
    <row r="9" spans="1:22" ht="18" customHeight="1" x14ac:dyDescent="0.25">
      <c r="A9" s="19" t="s">
        <v>75</v>
      </c>
      <c r="B9" s="8" t="s">
        <v>76</v>
      </c>
      <c r="C9" s="8" t="s">
        <v>57</v>
      </c>
      <c r="D9" s="41">
        <v>45042</v>
      </c>
      <c r="E9" s="41">
        <v>46199</v>
      </c>
      <c r="F9" s="41">
        <v>45738</v>
      </c>
      <c r="G9" s="40">
        <v>62118</v>
      </c>
      <c r="H9" s="8" t="s">
        <v>63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</row>
    <row r="10" spans="1:22" ht="18" customHeight="1" x14ac:dyDescent="0.25">
      <c r="A10" s="14" t="s">
        <v>77</v>
      </c>
      <c r="B10" s="12" t="s">
        <v>78</v>
      </c>
      <c r="C10" s="12" t="s">
        <v>62</v>
      </c>
      <c r="D10" s="38">
        <v>45476</v>
      </c>
      <c r="E10" s="38">
        <v>46244</v>
      </c>
      <c r="F10" s="38">
        <v>46068</v>
      </c>
      <c r="G10" s="37">
        <v>52671</v>
      </c>
      <c r="H10" s="12" t="s">
        <v>67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</row>
    <row r="11" spans="1:22" ht="18" customHeight="1" x14ac:dyDescent="0.25">
      <c r="A11" s="19" t="s">
        <v>79</v>
      </c>
      <c r="B11" s="8" t="s">
        <v>80</v>
      </c>
      <c r="C11" s="8" t="s">
        <v>66</v>
      </c>
      <c r="D11" s="41">
        <v>43381</v>
      </c>
      <c r="E11" s="41">
        <v>46291</v>
      </c>
      <c r="F11" s="41">
        <v>45814</v>
      </c>
      <c r="G11" s="40">
        <v>67615</v>
      </c>
      <c r="H11" s="8" t="s">
        <v>71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</row>
    <row r="12" spans="1:22" ht="18" customHeight="1" x14ac:dyDescent="0.25">
      <c r="A12" s="14" t="s">
        <v>82</v>
      </c>
      <c r="B12" s="12" t="s">
        <v>83</v>
      </c>
      <c r="C12" s="12" t="s">
        <v>70</v>
      </c>
      <c r="D12" s="38">
        <v>43478</v>
      </c>
      <c r="E12" s="38">
        <v>46312</v>
      </c>
      <c r="F12" s="38">
        <v>45884</v>
      </c>
      <c r="G12" s="37">
        <v>65400</v>
      </c>
      <c r="H12" s="12" t="s">
        <v>58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</row>
    <row r="13" spans="1:22" ht="18" customHeight="1" x14ac:dyDescent="0.25">
      <c r="A13" s="19" t="s">
        <v>84</v>
      </c>
      <c r="B13" s="8" t="s">
        <v>85</v>
      </c>
      <c r="C13" s="8" t="s">
        <v>74</v>
      </c>
      <c r="D13" s="41">
        <v>43939</v>
      </c>
      <c r="E13" s="41">
        <v>46230</v>
      </c>
      <c r="F13" s="41">
        <v>45709</v>
      </c>
      <c r="G13" s="40">
        <v>55930</v>
      </c>
      <c r="H13" s="8" t="s">
        <v>63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</row>
    <row r="14" spans="1:22" ht="18" customHeight="1" x14ac:dyDescent="0.25">
      <c r="A14" s="14" t="s">
        <v>86</v>
      </c>
      <c r="B14" s="12" t="s">
        <v>87</v>
      </c>
      <c r="C14" s="12" t="s">
        <v>57</v>
      </c>
      <c r="D14" s="38">
        <v>44400</v>
      </c>
      <c r="E14" s="38">
        <v>46207</v>
      </c>
      <c r="F14" s="38">
        <v>45946</v>
      </c>
      <c r="G14" s="37">
        <v>65819</v>
      </c>
      <c r="H14" s="12" t="s">
        <v>67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</row>
    <row r="15" spans="1:22" ht="18" customHeight="1" x14ac:dyDescent="0.25">
      <c r="A15" s="19" t="s">
        <v>88</v>
      </c>
      <c r="B15" s="8" t="s">
        <v>89</v>
      </c>
      <c r="C15" s="8" t="s">
        <v>62</v>
      </c>
      <c r="D15" s="41">
        <v>44862</v>
      </c>
      <c r="E15" s="41">
        <v>46312</v>
      </c>
      <c r="F15" s="41">
        <v>45866</v>
      </c>
      <c r="G15" s="40">
        <v>27358</v>
      </c>
      <c r="H15" s="8" t="s">
        <v>71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</row>
    <row r="16" spans="1:22" ht="18" customHeight="1" x14ac:dyDescent="0.25">
      <c r="A16" s="14" t="s">
        <v>90</v>
      </c>
      <c r="B16" s="12" t="s">
        <v>91</v>
      </c>
      <c r="C16" s="12" t="s">
        <v>66</v>
      </c>
      <c r="D16" s="38">
        <v>44931</v>
      </c>
      <c r="E16" s="38">
        <v>46298</v>
      </c>
      <c r="F16" s="38">
        <v>45810</v>
      </c>
      <c r="G16" s="37">
        <v>78589</v>
      </c>
      <c r="H16" s="12" t="s">
        <v>58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</row>
    <row r="17" spans="1:22" ht="18" customHeight="1" x14ac:dyDescent="0.25">
      <c r="A17" s="19" t="s">
        <v>92</v>
      </c>
      <c r="B17" s="8" t="s">
        <v>93</v>
      </c>
      <c r="C17" s="8" t="s">
        <v>70</v>
      </c>
      <c r="D17" s="41">
        <v>45392</v>
      </c>
      <c r="E17" s="41">
        <v>46170</v>
      </c>
      <c r="F17" s="41">
        <v>45895</v>
      </c>
      <c r="G17" s="40">
        <v>60504</v>
      </c>
      <c r="H17" s="8" t="s">
        <v>63</v>
      </c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</row>
    <row r="18" spans="1:22" ht="18" customHeight="1" x14ac:dyDescent="0.25">
      <c r="A18" s="14" t="s">
        <v>94</v>
      </c>
      <c r="B18" s="12" t="s">
        <v>95</v>
      </c>
      <c r="C18" s="12" t="s">
        <v>74</v>
      </c>
      <c r="D18" s="38">
        <v>43296</v>
      </c>
      <c r="E18" s="38">
        <v>46241</v>
      </c>
      <c r="F18" s="38">
        <v>46131</v>
      </c>
      <c r="G18" s="37">
        <v>53093</v>
      </c>
      <c r="H18" s="12" t="s">
        <v>67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</row>
    <row r="19" spans="1:22" ht="18" customHeight="1" x14ac:dyDescent="0.25">
      <c r="A19" s="19" t="s">
        <v>96</v>
      </c>
      <c r="B19" s="8" t="s">
        <v>97</v>
      </c>
      <c r="C19" s="8" t="s">
        <v>57</v>
      </c>
      <c r="D19" s="41">
        <v>43758</v>
      </c>
      <c r="E19" s="41">
        <v>46177</v>
      </c>
      <c r="F19" s="41">
        <v>46119</v>
      </c>
      <c r="G19" s="40">
        <v>83435</v>
      </c>
      <c r="H19" s="8" t="s">
        <v>71</v>
      </c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</row>
    <row r="20" spans="1:22" ht="18" customHeight="1" x14ac:dyDescent="0.25">
      <c r="A20" s="14" t="s">
        <v>98</v>
      </c>
      <c r="B20" s="12" t="s">
        <v>99</v>
      </c>
      <c r="C20" s="12" t="s">
        <v>62</v>
      </c>
      <c r="D20" s="38">
        <v>43855</v>
      </c>
      <c r="E20" s="38">
        <v>46297</v>
      </c>
      <c r="F20" s="38">
        <v>45741</v>
      </c>
      <c r="G20" s="37">
        <v>52438</v>
      </c>
      <c r="H20" s="12" t="s">
        <v>58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</row>
    <row r="21" spans="1:22" ht="18" customHeight="1" x14ac:dyDescent="0.25">
      <c r="A21" s="19" t="s">
        <v>100</v>
      </c>
      <c r="B21" s="8" t="s">
        <v>101</v>
      </c>
      <c r="C21" s="8" t="s">
        <v>66</v>
      </c>
      <c r="D21" s="41">
        <v>44288</v>
      </c>
      <c r="E21" s="41">
        <v>46214</v>
      </c>
      <c r="F21" s="41">
        <v>45760</v>
      </c>
      <c r="G21" s="40">
        <v>36131</v>
      </c>
      <c r="H21" s="8" t="s">
        <v>63</v>
      </c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</row>
    <row r="22" spans="1:22" ht="18" customHeight="1" x14ac:dyDescent="0.25">
      <c r="A22" s="14" t="s">
        <v>102</v>
      </c>
      <c r="B22" s="12" t="s">
        <v>103</v>
      </c>
      <c r="C22" s="12" t="s">
        <v>70</v>
      </c>
      <c r="D22" s="38">
        <v>44749</v>
      </c>
      <c r="E22" s="38">
        <v>46218</v>
      </c>
      <c r="F22" s="38">
        <v>45808</v>
      </c>
      <c r="G22" s="37">
        <v>38969</v>
      </c>
      <c r="H22" s="12" t="s">
        <v>67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</row>
    <row r="23" spans="1:22" ht="18" customHeight="1" x14ac:dyDescent="0.25">
      <c r="A23" s="19" t="s">
        <v>104</v>
      </c>
      <c r="B23" s="8" t="s">
        <v>105</v>
      </c>
      <c r="C23" s="8" t="s">
        <v>74</v>
      </c>
      <c r="D23" s="41">
        <v>45211</v>
      </c>
      <c r="E23" s="41">
        <v>46299</v>
      </c>
      <c r="F23" s="41">
        <v>45792</v>
      </c>
      <c r="G23" s="40">
        <v>79348</v>
      </c>
      <c r="H23" s="8" t="s">
        <v>71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</row>
    <row r="24" spans="1:22" ht="18" customHeight="1" x14ac:dyDescent="0.25">
      <c r="A24" s="14" t="s">
        <v>106</v>
      </c>
      <c r="B24" s="12" t="s">
        <v>107</v>
      </c>
      <c r="C24" s="12" t="s">
        <v>57</v>
      </c>
      <c r="D24" s="38">
        <v>45308</v>
      </c>
      <c r="E24" s="38">
        <v>46269</v>
      </c>
      <c r="F24" s="38">
        <v>46062</v>
      </c>
      <c r="G24" s="37">
        <v>52973</v>
      </c>
      <c r="H24" s="12" t="s">
        <v>58</v>
      </c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</row>
    <row r="25" spans="1:22" ht="18" customHeight="1" x14ac:dyDescent="0.25">
      <c r="A25" s="19" t="s">
        <v>108</v>
      </c>
      <c r="B25" s="8" t="s">
        <v>109</v>
      </c>
      <c r="C25" s="8" t="s">
        <v>62</v>
      </c>
      <c r="D25" s="41">
        <v>43212</v>
      </c>
      <c r="E25" s="41">
        <v>46216</v>
      </c>
      <c r="F25" s="41">
        <v>45790</v>
      </c>
      <c r="G25" s="40">
        <v>77470</v>
      </c>
      <c r="H25" s="8" t="s">
        <v>63</v>
      </c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</row>
    <row r="26" spans="1:22" ht="18" customHeight="1" x14ac:dyDescent="0.25">
      <c r="A26" s="14" t="s">
        <v>110</v>
      </c>
      <c r="B26" s="12" t="s">
        <v>111</v>
      </c>
      <c r="C26" s="12" t="s">
        <v>66</v>
      </c>
      <c r="D26" s="38">
        <v>43673</v>
      </c>
      <c r="E26" s="38">
        <v>46254</v>
      </c>
      <c r="F26" s="38">
        <v>46002</v>
      </c>
      <c r="G26" s="37">
        <v>84542</v>
      </c>
      <c r="H26" s="12" t="s">
        <v>67</v>
      </c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</row>
    <row r="27" spans="1:22" ht="18" customHeight="1" x14ac:dyDescent="0.25">
      <c r="A27" s="19" t="s">
        <v>112</v>
      </c>
      <c r="B27" s="8" t="s">
        <v>113</v>
      </c>
      <c r="C27" s="8" t="s">
        <v>70</v>
      </c>
      <c r="D27" s="41">
        <v>44108</v>
      </c>
      <c r="E27" s="41">
        <v>46252</v>
      </c>
      <c r="F27" s="41">
        <v>45735</v>
      </c>
      <c r="G27" s="40">
        <v>38032</v>
      </c>
      <c r="H27" s="8" t="s">
        <v>71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</row>
    <row r="28" spans="1:22" ht="18" customHeight="1" x14ac:dyDescent="0.25">
      <c r="A28" s="14" t="s">
        <v>114</v>
      </c>
      <c r="B28" s="12" t="s">
        <v>115</v>
      </c>
      <c r="C28" s="12" t="s">
        <v>74</v>
      </c>
      <c r="D28" s="38">
        <v>44205</v>
      </c>
      <c r="E28" s="38">
        <v>46200</v>
      </c>
      <c r="F28" s="38">
        <v>46126</v>
      </c>
      <c r="G28" s="37">
        <v>82042</v>
      </c>
      <c r="H28" s="12" t="s">
        <v>58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</row>
    <row r="29" spans="1:22" ht="18" customHeight="1" x14ac:dyDescent="0.25">
      <c r="A29" s="19" t="s">
        <v>116</v>
      </c>
      <c r="B29" s="8" t="s">
        <v>117</v>
      </c>
      <c r="C29" s="8" t="s">
        <v>57</v>
      </c>
      <c r="D29" s="41">
        <v>44665</v>
      </c>
      <c r="E29" s="41">
        <v>46192</v>
      </c>
      <c r="F29" s="41">
        <v>46122</v>
      </c>
      <c r="G29" s="40">
        <v>28322</v>
      </c>
      <c r="H29" s="8" t="s">
        <v>63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</row>
    <row r="30" spans="1:22" ht="18" customHeight="1" x14ac:dyDescent="0.25">
      <c r="A30" s="14" t="s">
        <v>118</v>
      </c>
      <c r="B30" s="12" t="s">
        <v>119</v>
      </c>
      <c r="C30" s="12" t="s">
        <v>62</v>
      </c>
      <c r="D30" s="38">
        <v>45126</v>
      </c>
      <c r="E30" s="38">
        <v>46311</v>
      </c>
      <c r="F30" s="38">
        <v>45875</v>
      </c>
      <c r="G30" s="37">
        <v>34483</v>
      </c>
      <c r="H30" s="12" t="s">
        <v>67</v>
      </c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</row>
    <row r="31" spans="1:22" ht="18" customHeight="1" x14ac:dyDescent="0.25">
      <c r="A31" s="19" t="s">
        <v>120</v>
      </c>
      <c r="B31" s="8" t="s">
        <v>121</v>
      </c>
      <c r="C31" s="8" t="s">
        <v>66</v>
      </c>
      <c r="D31" s="41">
        <v>45589</v>
      </c>
      <c r="E31" s="41">
        <v>46236</v>
      </c>
      <c r="F31" s="41">
        <v>45934</v>
      </c>
      <c r="G31" s="40">
        <v>73461</v>
      </c>
      <c r="H31" s="8" t="s">
        <v>71</v>
      </c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</row>
    <row r="32" spans="1:22" ht="18" customHeight="1" x14ac:dyDescent="0.25">
      <c r="A32" s="14" t="s">
        <v>122</v>
      </c>
      <c r="B32" s="12" t="s">
        <v>123</v>
      </c>
      <c r="C32" s="12" t="s">
        <v>70</v>
      </c>
      <c r="D32" s="38">
        <v>43101</v>
      </c>
      <c r="E32" s="38">
        <v>46306</v>
      </c>
      <c r="F32" s="38">
        <v>45747</v>
      </c>
      <c r="G32" s="37">
        <v>58857</v>
      </c>
      <c r="H32" s="12" t="s">
        <v>58</v>
      </c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3" spans="1:22" ht="18" customHeight="1" x14ac:dyDescent="0.25">
      <c r="A33" s="19" t="s">
        <v>124</v>
      </c>
      <c r="B33" s="8" t="s">
        <v>125</v>
      </c>
      <c r="C33" s="8" t="s">
        <v>74</v>
      </c>
      <c r="D33" s="41">
        <v>43561</v>
      </c>
      <c r="E33" s="41">
        <v>46290</v>
      </c>
      <c r="F33" s="41">
        <v>46130</v>
      </c>
      <c r="G33" s="40">
        <v>77177</v>
      </c>
      <c r="H33" s="8" t="s">
        <v>63</v>
      </c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</row>
    <row r="34" spans="1:22" ht="15.75" customHeight="1" x14ac:dyDescent="0.25"/>
    <row r="35" spans="1:22" ht="15.75" customHeight="1" x14ac:dyDescent="0.25"/>
    <row r="36" spans="1:22" ht="25.5" customHeight="1" x14ac:dyDescent="0.25">
      <c r="A36" s="50" t="s">
        <v>285</v>
      </c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6"/>
    </row>
    <row r="37" spans="1:22" ht="30" customHeight="1" x14ac:dyDescent="0.25">
      <c r="A37" s="23" t="s">
        <v>286</v>
      </c>
      <c r="B37" s="48" t="s">
        <v>287</v>
      </c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6"/>
    </row>
    <row r="38" spans="1:22" ht="30" customHeight="1" x14ac:dyDescent="0.25">
      <c r="A38" s="23" t="s">
        <v>288</v>
      </c>
      <c r="B38" s="48" t="s">
        <v>289</v>
      </c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6"/>
    </row>
    <row r="39" spans="1:22" ht="30" customHeight="1" x14ac:dyDescent="0.25">
      <c r="A39" s="23" t="s">
        <v>290</v>
      </c>
      <c r="B39" s="48" t="s">
        <v>322</v>
      </c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6"/>
    </row>
    <row r="40" spans="1:22" ht="30" customHeight="1" x14ac:dyDescent="0.25">
      <c r="A40" s="23" t="s">
        <v>291</v>
      </c>
      <c r="B40" s="48" t="e">
        <f ca="1">IF(YEAR(D4)=YEAR(TODAY()),"New This Year","")  — drag to l33.</f>
        <v>#VALUE!</v>
      </c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6"/>
    </row>
    <row r="41" spans="1:22" ht="30" customHeight="1" x14ac:dyDescent="0.25">
      <c r="A41" s="23" t="s">
        <v>292</v>
      </c>
      <c r="B41" s="48" t="e">
        <f ca="1">TODAY()-F4  — format as Number. drag to m33.</f>
        <v>#NAME?</v>
      </c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6"/>
    </row>
    <row r="42" spans="1:22" ht="30" customHeight="1" x14ac:dyDescent="0.25">
      <c r="A42" s="23" t="s">
        <v>293</v>
      </c>
      <c r="B42" s="48" t="s">
        <v>322</v>
      </c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6"/>
    </row>
    <row r="43" spans="1:22" ht="30" customHeight="1" x14ac:dyDescent="0.25">
      <c r="A43" s="23" t="s">
        <v>294</v>
      </c>
      <c r="B43" s="48" t="s">
        <v>322</v>
      </c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6"/>
    </row>
    <row r="44" spans="1:22" ht="30" customHeight="1" x14ac:dyDescent="0.25">
      <c r="A44" s="23" t="s">
        <v>295</v>
      </c>
      <c r="B44" s="48" t="e">
        <f ca="1">IF(DATEDIF(D4,TODAY(),"Y")&gt;=5,"Senior","Junior")  — drag to p33.</f>
        <v>#VALUE!</v>
      </c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6"/>
    </row>
    <row r="45" spans="1:22" ht="30" customHeight="1" x14ac:dyDescent="0.25">
      <c r="A45" s="23" t="s">
        <v>296</v>
      </c>
      <c r="B45" s="48" t="e">
        <f ca="1">IF(E4&gt;=TODAY(),DATEDIF(TODAY(),E4,"D"),"OVERDUE")  — drag to q33.</f>
        <v>#VALUE!</v>
      </c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6"/>
    </row>
    <row r="46" spans="1:22" ht="30" customHeight="1" x14ac:dyDescent="0.25">
      <c r="A46" s="23" t="s">
        <v>297</v>
      </c>
      <c r="B46" s="48" t="e">
        <f ca="1">IF(E4&lt;TODAY(),"OVERDUE","Upcoming")  — drag to R33.</f>
        <v>#VALUE!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6"/>
    </row>
    <row r="47" spans="1:22" ht="30" customHeight="1" x14ac:dyDescent="0.25">
      <c r="A47" s="23" t="s">
        <v>298</v>
      </c>
      <c r="B47" s="48" t="s">
        <v>322</v>
      </c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6"/>
    </row>
    <row r="48" spans="1:22" ht="30" customHeight="1" x14ac:dyDescent="0.25">
      <c r="A48" s="23" t="s">
        <v>299</v>
      </c>
      <c r="B48" s="48" t="s">
        <v>322</v>
      </c>
      <c r="C48" s="49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6"/>
    </row>
    <row r="49" spans="1:22" ht="30" customHeight="1" x14ac:dyDescent="0.25">
      <c r="A49" s="23" t="s">
        <v>300</v>
      </c>
      <c r="B49" s="48" t="e">
        <f>CHOOSE(WEEKDAY(D4,2),"Mon","Tue","Wed","Thu","Fri","Sat","Sun")  — drag to U33.</f>
        <v>#VALUE!</v>
      </c>
      <c r="C49" s="49"/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6"/>
    </row>
    <row r="50" spans="1:22" ht="30" customHeight="1" x14ac:dyDescent="0.25">
      <c r="A50" s="23" t="s">
        <v>301</v>
      </c>
      <c r="B50" s="48" t="s">
        <v>322</v>
      </c>
      <c r="C50" s="49"/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6"/>
    </row>
    <row r="51" spans="1:22" ht="15.75" customHeight="1" x14ac:dyDescent="0.25"/>
    <row r="52" spans="1:22" ht="15.75" customHeight="1" x14ac:dyDescent="0.25"/>
    <row r="53" spans="1:22" ht="25.5" customHeight="1" x14ac:dyDescent="0.25">
      <c r="A53" s="57" t="s">
        <v>302</v>
      </c>
      <c r="B53" s="49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6"/>
    </row>
    <row r="54" spans="1:22" ht="15.75" customHeight="1" x14ac:dyDescent="0.25">
      <c r="A54" s="42" t="s">
        <v>303</v>
      </c>
      <c r="B54" s="30" t="s">
        <v>215</v>
      </c>
      <c r="C54" s="30" t="s">
        <v>216</v>
      </c>
      <c r="D54" s="30" t="s">
        <v>217</v>
      </c>
      <c r="E54" s="30" t="s">
        <v>218</v>
      </c>
      <c r="F54" s="30" t="s">
        <v>219</v>
      </c>
      <c r="G54" s="30" t="s">
        <v>220</v>
      </c>
      <c r="H54" s="30" t="s">
        <v>221</v>
      </c>
      <c r="I54" s="30" t="s">
        <v>222</v>
      </c>
      <c r="J54" s="30" t="s">
        <v>223</v>
      </c>
      <c r="K54" s="30" t="s">
        <v>224</v>
      </c>
      <c r="L54" s="30" t="s">
        <v>225</v>
      </c>
      <c r="M54" s="30" t="s">
        <v>226</v>
      </c>
    </row>
    <row r="55" spans="1:22" ht="19.5" customHeight="1" x14ac:dyDescent="0.25">
      <c r="A55" s="5" t="s">
        <v>58</v>
      </c>
      <c r="B55" s="40">
        <v>103682</v>
      </c>
      <c r="C55" s="40">
        <v>131444</v>
      </c>
      <c r="D55" s="40">
        <v>119314</v>
      </c>
      <c r="E55" s="40">
        <v>159347</v>
      </c>
      <c r="F55" s="40">
        <v>100883</v>
      </c>
      <c r="G55" s="40">
        <v>128174</v>
      </c>
      <c r="H55" s="40">
        <v>159151</v>
      </c>
      <c r="I55" s="40">
        <v>103202</v>
      </c>
      <c r="J55" s="40">
        <v>172176</v>
      </c>
      <c r="K55" s="40">
        <v>203722</v>
      </c>
      <c r="L55" s="40">
        <v>221710</v>
      </c>
      <c r="M55" s="40">
        <v>181014</v>
      </c>
    </row>
    <row r="56" spans="1:22" ht="19.5" customHeight="1" x14ac:dyDescent="0.25">
      <c r="A56" s="5" t="s">
        <v>63</v>
      </c>
      <c r="B56" s="37">
        <v>181685</v>
      </c>
      <c r="C56" s="37">
        <v>211990</v>
      </c>
      <c r="D56" s="37">
        <v>186362</v>
      </c>
      <c r="E56" s="37">
        <v>163423</v>
      </c>
      <c r="F56" s="37">
        <v>192431</v>
      </c>
      <c r="G56" s="37">
        <v>220036</v>
      </c>
      <c r="H56" s="37">
        <v>245399</v>
      </c>
      <c r="I56" s="37">
        <v>90634</v>
      </c>
      <c r="J56" s="37">
        <v>245810</v>
      </c>
      <c r="K56" s="37">
        <v>147435</v>
      </c>
      <c r="L56" s="37">
        <v>90754</v>
      </c>
      <c r="M56" s="37">
        <v>140453</v>
      </c>
    </row>
    <row r="57" spans="1:22" ht="19.5" customHeight="1" x14ac:dyDescent="0.25">
      <c r="A57" s="5" t="s">
        <v>67</v>
      </c>
      <c r="B57" s="40">
        <v>214469</v>
      </c>
      <c r="C57" s="40">
        <v>83813</v>
      </c>
      <c r="D57" s="40">
        <v>229513</v>
      </c>
      <c r="E57" s="40">
        <v>201771</v>
      </c>
      <c r="F57" s="40">
        <v>138651</v>
      </c>
      <c r="G57" s="40">
        <v>93758</v>
      </c>
      <c r="H57" s="40">
        <v>179260</v>
      </c>
      <c r="I57" s="40">
        <v>140746</v>
      </c>
      <c r="J57" s="40">
        <v>103221</v>
      </c>
      <c r="K57" s="40">
        <v>211588</v>
      </c>
      <c r="L57" s="40">
        <v>248897</v>
      </c>
      <c r="M57" s="40">
        <v>192254</v>
      </c>
    </row>
    <row r="58" spans="1:22" ht="19.5" customHeight="1" x14ac:dyDescent="0.25">
      <c r="A58" s="5" t="s">
        <v>71</v>
      </c>
      <c r="B58" s="37">
        <v>131141</v>
      </c>
      <c r="C58" s="37">
        <v>139412</v>
      </c>
      <c r="D58" s="37">
        <v>133807</v>
      </c>
      <c r="E58" s="37">
        <v>187583</v>
      </c>
      <c r="F58" s="37">
        <v>124588</v>
      </c>
      <c r="G58" s="37">
        <v>160127</v>
      </c>
      <c r="H58" s="37">
        <v>166584</v>
      </c>
      <c r="I58" s="37">
        <v>82179</v>
      </c>
      <c r="J58" s="37">
        <v>108083</v>
      </c>
      <c r="K58" s="37">
        <v>187521</v>
      </c>
      <c r="L58" s="37">
        <v>161402</v>
      </c>
      <c r="M58" s="37">
        <v>165138</v>
      </c>
    </row>
    <row r="59" spans="1:22" ht="15.75" customHeight="1" x14ac:dyDescent="0.25"/>
    <row r="60" spans="1:22" ht="15.75" customHeight="1" x14ac:dyDescent="0.25"/>
    <row r="61" spans="1:22" ht="15.75" customHeight="1" x14ac:dyDescent="0.25"/>
    <row r="62" spans="1:22" ht="15.75" customHeight="1" x14ac:dyDescent="0.25"/>
    <row r="63" spans="1:22" ht="15.75" customHeight="1" x14ac:dyDescent="0.25"/>
    <row r="64" spans="1:22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8">
    <mergeCell ref="A53:V53"/>
    <mergeCell ref="B41:V41"/>
    <mergeCell ref="B42:V42"/>
    <mergeCell ref="B43:V43"/>
    <mergeCell ref="B44:V44"/>
    <mergeCell ref="B45:V45"/>
    <mergeCell ref="B46:V46"/>
    <mergeCell ref="B47:V47"/>
    <mergeCell ref="B39:V39"/>
    <mergeCell ref="B40:V40"/>
    <mergeCell ref="B48:V48"/>
    <mergeCell ref="B49:V49"/>
    <mergeCell ref="B50:V50"/>
    <mergeCell ref="A1:R1"/>
    <mergeCell ref="A2:R2"/>
    <mergeCell ref="A36:V36"/>
    <mergeCell ref="B37:V37"/>
    <mergeCell ref="B38:V38"/>
  </mergeCells>
  <pageMargins left="0.75" right="0.75" top="1" bottom="1" header="0" footer="0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000"/>
  <sheetViews>
    <sheetView showGridLines="0" tabSelected="1" workbookViewId="0">
      <selection sqref="A1:C1"/>
    </sheetView>
  </sheetViews>
  <sheetFormatPr defaultColWidth="14.42578125" defaultRowHeight="15" customHeight="1" x14ac:dyDescent="0.25"/>
  <cols>
    <col min="1" max="1" width="32" customWidth="1"/>
    <col min="2" max="2" width="22" customWidth="1"/>
    <col min="3" max="3" width="55" customWidth="1"/>
    <col min="4" max="26" width="8.7109375" customWidth="1"/>
  </cols>
  <sheetData>
    <row r="1" spans="1:3" ht="33.75" customHeight="1" x14ac:dyDescent="0.25">
      <c r="A1" s="45" t="s">
        <v>304</v>
      </c>
      <c r="B1" s="49"/>
      <c r="C1" s="46"/>
    </row>
    <row r="2" spans="1:3" ht="19.5" customHeight="1" x14ac:dyDescent="0.25">
      <c r="A2" s="47" t="s">
        <v>305</v>
      </c>
      <c r="B2" s="49"/>
      <c r="C2" s="46"/>
    </row>
    <row r="3" spans="1:3" ht="21.75" customHeight="1" x14ac:dyDescent="0.25">
      <c r="A3" s="11" t="s">
        <v>145</v>
      </c>
      <c r="B3" s="11" t="s">
        <v>306</v>
      </c>
      <c r="C3" s="11" t="s">
        <v>307</v>
      </c>
    </row>
    <row r="4" spans="1:3" ht="25.5" customHeight="1" x14ac:dyDescent="0.25">
      <c r="A4" s="1" t="s">
        <v>308</v>
      </c>
      <c r="B4" s="29"/>
      <c r="C4" s="43">
        <f>COUNTIFS(Part_I_Data!I4:I33,"Active",Part_I_Data!D4:D33,"&gt;=75",Part_I_Data!E4:E33,"&gt;=0.8")</f>
        <v>4</v>
      </c>
    </row>
    <row r="5" spans="1:3" ht="25.5" customHeight="1" x14ac:dyDescent="0.25">
      <c r="A5" s="1" t="s">
        <v>309</v>
      </c>
      <c r="B5" s="29"/>
      <c r="C5" s="43">
        <f>SUMIFS(Part_I_Data!F4:F33,Part_I_Data!C4:C33,"Sales",Part_I_Data!H4:H33,"North",Part_I_Data!I4:I33,"Active")</f>
        <v>52438</v>
      </c>
    </row>
    <row r="6" spans="1:3" ht="25.5" customHeight="1" x14ac:dyDescent="0.25">
      <c r="A6" s="1" t="s">
        <v>310</v>
      </c>
      <c r="B6" s="29"/>
      <c r="C6" s="43">
        <f>AVERAGEIFS(Part_I_Data!D4:D33,Part_I_Data!C4:C33,"IT",Part_I_Data!I4:I33,"Active",Part_I_Data!E4:E33,"&gt;=0.85")</f>
        <v>74</v>
      </c>
    </row>
    <row r="7" spans="1:3" ht="25.5" customHeight="1" x14ac:dyDescent="0.25">
      <c r="A7" s="1" t="s">
        <v>311</v>
      </c>
      <c r="B7" s="29"/>
      <c r="C7" s="43" t="e">
        <f t="array" aca="1" ref="C7" ca="1">_xludf.xlookup(B8,Part_II_Data!A4:A33,Part_II_Data!E4:E33,"Not Found")</f>
        <v>#NAME?</v>
      </c>
    </row>
    <row r="8" spans="1:3" ht="25.5" customHeight="1" x14ac:dyDescent="0.25">
      <c r="A8" s="1" t="s">
        <v>312</v>
      </c>
      <c r="B8" s="29"/>
      <c r="C8" s="43" t="e">
        <f t="array" ref="C8">INDEX(Part_II_Data!C4:C33,MATCH(B8,Part_II_Data!A4:A33,0))</f>
        <v>#N/A</v>
      </c>
    </row>
    <row r="9" spans="1:3" ht="25.5" customHeight="1" x14ac:dyDescent="0.25">
      <c r="A9" s="1" t="s">
        <v>313</v>
      </c>
      <c r="B9" s="29"/>
      <c r="C9" s="43">
        <f>COUNTIF(Part_III_Data!N4:N33,"&gt;=5")</f>
        <v>0</v>
      </c>
    </row>
    <row r="10" spans="1:3" ht="25.5" customHeight="1" x14ac:dyDescent="0.25">
      <c r="A10" s="1" t="s">
        <v>314</v>
      </c>
      <c r="B10" s="29"/>
      <c r="C10" s="43" t="e">
        <f ca="1">MIN(NETWORKDAYS(TODAY(),Part_III_Data!E4:E33))</f>
        <v>#VALUE!</v>
      </c>
    </row>
    <row r="11" spans="1:3" ht="25.5" customHeight="1" x14ac:dyDescent="0.25">
      <c r="A11" s="1" t="s">
        <v>315</v>
      </c>
      <c r="B11" s="29"/>
      <c r="C11" s="43" t="str">
        <f ca="1">"Today is: "&amp;TEXT(TODAY(),"DDDD, DD MMMM YYYY")</f>
        <v>Today is: Friday, 21 August 2026</v>
      </c>
    </row>
    <row r="12" spans="1:3" ht="25.5" customHeight="1" x14ac:dyDescent="0.25">
      <c r="A12" s="1" t="s">
        <v>316</v>
      </c>
      <c r="B12" s="29"/>
      <c r="C12" s="43">
        <f>SUMPRODUCT((YEAR(Part_III_Data!D4:D33)&gt;2020)*Part_III_Data!G4:G33)</f>
        <v>884701</v>
      </c>
    </row>
    <row r="13" spans="1:3" ht="25.5" customHeight="1" x14ac:dyDescent="0.25">
      <c r="A13" s="1" t="s">
        <v>317</v>
      </c>
      <c r="B13" s="29"/>
      <c r="C13" s="43" t="str">
        <f t="array" ref="C13">INDEX(Part_I_Data!B4:B33,MATCH(MAX(Part_I_Data!F4:F33),Part_I_Data!F4:F33,0))</f>
        <v>Divya Menon</v>
      </c>
    </row>
    <row r="14" spans="1:3" ht="25.5" customHeight="1" x14ac:dyDescent="0.25">
      <c r="A14" s="6" t="s">
        <v>318</v>
      </c>
      <c r="B14" s="44"/>
      <c r="C14" s="25"/>
    </row>
    <row r="15" spans="1:3" ht="25.5" customHeight="1" x14ac:dyDescent="0.25">
      <c r="A15" s="6" t="s">
        <v>319</v>
      </c>
      <c r="B15" s="44" t="s">
        <v>79</v>
      </c>
      <c r="C15" s="25" t="s">
        <v>320</v>
      </c>
    </row>
    <row r="17" spans="1:3" ht="27.75" customHeight="1" x14ac:dyDescent="0.25">
      <c r="A17" s="54" t="s">
        <v>321</v>
      </c>
      <c r="B17" s="49"/>
      <c r="C17" s="46"/>
    </row>
    <row r="21" spans="1:3" ht="15.75" customHeight="1" x14ac:dyDescent="0.25"/>
    <row r="22" spans="1:3" ht="15.75" customHeight="1" x14ac:dyDescent="0.25"/>
    <row r="23" spans="1:3" ht="15.75" customHeight="1" x14ac:dyDescent="0.25"/>
    <row r="24" spans="1:3" ht="15.75" customHeight="1" x14ac:dyDescent="0.25"/>
    <row r="25" spans="1:3" ht="15.75" customHeight="1" x14ac:dyDescent="0.25"/>
    <row r="26" spans="1:3" ht="15.75" customHeight="1" x14ac:dyDescent="0.25"/>
    <row r="27" spans="1:3" ht="15.75" customHeight="1" x14ac:dyDescent="0.25"/>
    <row r="28" spans="1:3" ht="15.75" customHeight="1" x14ac:dyDescent="0.25"/>
    <row r="29" spans="1:3" ht="15.75" customHeight="1" x14ac:dyDescent="0.25"/>
    <row r="30" spans="1:3" ht="15.75" customHeight="1" x14ac:dyDescent="0.25"/>
    <row r="31" spans="1:3" ht="15.75" customHeight="1" x14ac:dyDescent="0.25"/>
    <row r="32" spans="1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3">
    <mergeCell ref="A1:C1"/>
    <mergeCell ref="A2:C2"/>
    <mergeCell ref="A17:C17"/>
  </mergeCells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Part_I_Data</vt:lpstr>
      <vt:lpstr>Summary_P1</vt:lpstr>
      <vt:lpstr>Part_II_Data</vt:lpstr>
      <vt:lpstr>Product_Catalog</vt:lpstr>
      <vt:lpstr>Manager_Table</vt:lpstr>
      <vt:lpstr>Part_III_Data</vt:lpstr>
      <vt:lpstr>Summary_All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Rithiha U</cp:lastModifiedBy>
  <dcterms:created xsi:type="dcterms:W3CDTF">2026-08-21T16:31:46Z</dcterms:created>
  <dcterms:modified xsi:type="dcterms:W3CDTF">2026-08-21T16:31:46Z</dcterms:modified>
</cp:coreProperties>
</file>