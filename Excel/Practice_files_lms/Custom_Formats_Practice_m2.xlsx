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8967A2E7-129A-4CEF-9232-E413BF676C1E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📋 Overview &amp; Guide" sheetId="1" r:id="rId1"/>
    <sheet name="1 ─ Custom Formats" sheetId="2" r:id="rId2"/>
    <sheet name="2 ─ Fill Series" sheetId="3" r:id="rId3"/>
    <sheet name="3 ─ Flash Fill" sheetId="4" r:id="rId4"/>
    <sheet name="4 ─ Data Valid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7" i="2"/>
  <c r="G18" i="2"/>
  <c r="G19" i="2"/>
  <c r="G20" i="2"/>
  <c r="G21" i="2"/>
  <c r="G15" i="2"/>
  <c r="D8" i="5"/>
</calcChain>
</file>

<file path=xl/sharedStrings.xml><?xml version="1.0" encoding="utf-8"?>
<sst xmlns="http://schemas.openxmlformats.org/spreadsheetml/2006/main" count="468" uniqueCount="355">
  <si>
    <t>Custom_Formats_Practice.xlsx  |  Trainer &amp; Student Practice Workbook</t>
  </si>
  <si>
    <t>Session: Apply Custom Data Formats and Validation  |  Duration: 90 Minutes</t>
  </si>
  <si>
    <t>COLOUR LEGEND</t>
  </si>
  <si>
    <t>Yellow header / label</t>
  </si>
  <si>
    <t>→ Trainer instruction or field label</t>
  </si>
  <si>
    <t>Green cell / instruction</t>
  </si>
  <si>
    <t>→ Student task or data-entry area</t>
  </si>
  <si>
    <t>Light blue data cell</t>
  </si>
  <si>
    <t>→ Pre-filled sample data (do not delete)</t>
  </si>
  <si>
    <t>White with border</t>
  </si>
  <si>
    <t>→ Student work area — type your answers here</t>
  </si>
  <si>
    <t>Sheet</t>
  </si>
  <si>
    <t>Topic</t>
  </si>
  <si>
    <t>Objective</t>
  </si>
  <si>
    <t>Trainer Demo Time</t>
  </si>
  <si>
    <t>Student Practical Time</t>
  </si>
  <si>
    <t>1 ─ Custom Formats</t>
  </si>
  <si>
    <t>Create Custom Number Formats</t>
  </si>
  <si>
    <t>Objective 1</t>
  </si>
  <si>
    <t>15 min</t>
  </si>
  <si>
    <t>10 min</t>
  </si>
  <si>
    <t>2 ─ Fill Series</t>
  </si>
  <si>
    <t>Advanced Fill Series Options</t>
  </si>
  <si>
    <t>Objective 2</t>
  </si>
  <si>
    <t>12 min</t>
  </si>
  <si>
    <t>8 min</t>
  </si>
  <si>
    <t>3 ─ Flash Fill</t>
  </si>
  <si>
    <t>Enable &amp; Disable Flash Fill</t>
  </si>
  <si>
    <t>Objective 3</t>
  </si>
  <si>
    <t>7 min</t>
  </si>
  <si>
    <t>4 ─ Data Validation</t>
  </si>
  <si>
    <t>Configure Data Validation</t>
  </si>
  <si>
    <t>Objective 4</t>
  </si>
  <si>
    <t>SHEET 1: Custom Number Formats  |  Topic 1 — Trainer Demo + Student Practice</t>
  </si>
  <si>
    <t>🟡  TRAINER DEMO AREA  |  Steps demonstrated live by the trainer</t>
  </si>
  <si>
    <t>Description</t>
  </si>
  <si>
    <t>Raw Value (Col B)</t>
  </si>
  <si>
    <t>Task: Apply Format Code</t>
  </si>
  <si>
    <t>Expected Display</t>
  </si>
  <si>
    <t>Format Code to Use</t>
  </si>
  <si>
    <t>1. Basic decimal format</t>
  </si>
  <si>
    <t>Apply: #,##0.00</t>
  </si>
  <si>
    <t>1,500,000.00</t>
  </si>
  <si>
    <t>#,##0.00</t>
  </si>
  <si>
    <t>2. Currency with text</t>
  </si>
  <si>
    <t>Apply: "AED "#,##0.00</t>
  </si>
  <si>
    <t>AED 2,500.00</t>
  </si>
  <si>
    <t>"AED "#,##0.00</t>
  </si>
  <si>
    <t>3. Thousands abbreviation</t>
  </si>
  <si>
    <t>Apply: #,##0," K"</t>
  </si>
  <si>
    <t>1,500 K</t>
  </si>
  <si>
    <t>#,##0," K"</t>
  </si>
  <si>
    <t>4. Phone number format</t>
  </si>
  <si>
    <t>Apply: 050-000-0000</t>
  </si>
  <si>
    <t>050-412-3456</t>
  </si>
  <si>
    <t>050-000-0000</t>
  </si>
  <si>
    <t>5. Color: +Green / -Red</t>
  </si>
  <si>
    <t>Apply: [Green]#,##0;[Red](#,##0)</t>
  </si>
  <si>
    <t>-3,200 in red</t>
  </si>
  <si>
    <t>[Green]#,##0;[Red](#,##0)</t>
  </si>
  <si>
    <t>6. Custom date format</t>
  </si>
  <si>
    <t>Apply: DD-MMM-YYYY</t>
  </si>
  <si>
    <t>15-Jan-2025</t>
  </si>
  <si>
    <t>DD-MMM-YYYY</t>
  </si>
  <si>
    <t>🟢  STUDENT PRACTICAL TASKS  |  Apply the formats yourself!</t>
  </si>
  <si>
    <t>Task</t>
  </si>
  <si>
    <t>Column C
Salary Data</t>
  </si>
  <si>
    <t>Column D
Revenue (M)</t>
  </si>
  <si>
    <t>Column E
Phone Numbers</t>
  </si>
  <si>
    <t>Column F
Profit/Loss</t>
  </si>
  <si>
    <t>Column G
Dates</t>
  </si>
  <si>
    <t>Column H
Bonus: Reference Test</t>
  </si>
  <si>
    <t>✅ Done?</t>
  </si>
  <si>
    <t>FORMAT TO APPLY →</t>
  </si>
  <si>
    <t>SAR #,##0 "per month"</t>
  </si>
  <si>
    <t>#,##0.0,," M"</t>
  </si>
  <si>
    <t>0##-###-####</t>
  </si>
  <si>
    <t>[Blue]#,##0;[Red](#,##0);[Gray]"-"</t>
  </si>
  <si>
    <t>DDD, DD MMM YYYY</t>
  </si>
  <si>
    <t>Reference B14 here. Change B14 format. Does H14 formula change?</t>
  </si>
  <si>
    <t>Row 1</t>
  </si>
  <si>
    <t>Row 2</t>
  </si>
  <si>
    <t>Row 3</t>
  </si>
  <si>
    <t>Row 4</t>
  </si>
  <si>
    <t>Row 5</t>
  </si>
  <si>
    <t>Row 6</t>
  </si>
  <si>
    <t>Row 7</t>
  </si>
  <si>
    <t>💡 TRAINER TIP: Remind students — Ctrl+1 opens Format Cells. Custom formats only change DISPLAY, not the stored value. Verify this by clicking a formatted cell and reading the formula bar.</t>
  </si>
  <si>
    <t>SHEET 2: Advanced Fill Series Options  |  Topic 2 — Trainer Demo + Student Practice</t>
  </si>
  <si>
    <t>🟡  TRAINER DEMO AREA  |  Fill Series Types</t>
  </si>
  <si>
    <t>Series Type</t>
  </si>
  <si>
    <t>Col A: Linear (+50)</t>
  </si>
  <si>
    <t>Col B: Growth (×3)</t>
  </si>
  <si>
    <t>Col C: Monthly Dates</t>
  </si>
  <si>
    <t>Col D: Weekdays Only</t>
  </si>
  <si>
    <t>Steps / Notes</t>
  </si>
  <si>
    <t>Start: 100, Step: +50</t>
  </si>
  <si>
    <t>Start: 2, Step: ×3</t>
  </si>
  <si>
    <t>Start: 01/Jan/2025, Step: 1 Month</t>
  </si>
  <si>
    <t>Start: 06/Jan/2025 (Mon), Weekdays only</t>
  </si>
  <si>
    <t>Row 8</t>
  </si>
  <si>
    <t>Row 9</t>
  </si>
  <si>
    <t>Row 10</t>
  </si>
  <si>
    <t>🟢  STUDENT PRACTICAL TASKS  |  Complete each Fill Series task below</t>
  </si>
  <si>
    <t>Col A: Invoice#</t>
  </si>
  <si>
    <t>Col B: Sales Growth</t>
  </si>
  <si>
    <t>Col D: Weekday Schedule</t>
  </si>
  <si>
    <t>Col E: Custom AutoFill List</t>
  </si>
  <si>
    <t>Bonus: Pattern?</t>
  </si>
  <si>
    <t>INSTRUCTIONS →</t>
  </si>
  <si>
    <t>Start: INV-1001
Fill to INV-1025
(Linear, step 1)</t>
  </si>
  <si>
    <t>Start: 10,000
Growth ×1.1
(10 rows = 10% monthly growth)</t>
  </si>
  <si>
    <t>01/Jan/2025 → 12 months
Then apply DD-MMM-YYYY format</t>
  </si>
  <si>
    <t>05/Jan/2025
20 Working Days
(weekdays, no weekends)</t>
  </si>
  <si>
    <t>Create custom list:
(your dept names)
Type first, drag down</t>
  </si>
  <si>
    <t>Type 1,3 in rows 1-2
Select both, drag ×8
What is the pattern?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</si>
  <si>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</si>
  <si>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</si>
  <si>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</si>
  <si>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</si>
  <si>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</si>
  <si>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</si>
  <si>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</si>
  <si>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</si>
  <si>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</si>
  <si>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</si>
  <si>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</si>
  <si>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</si>
  <si>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</si>
  <si>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</si>
  <si>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</si>
  <si>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</si>
  <si>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💡 TRAINER TIP: For Custom AutoFill Lists — go to File → Options → Advanced → Edit Custom Lists. Remind students these lists are saved permanently on their machine and can be managed/deleted from the same location.</t>
  </si>
  <si>
    <t>SHEET 3: Flash Fill — Enable &amp; Disable  |  Topic 3 — Trainer Demo + Student Practice</t>
  </si>
  <si>
    <t>🟡  TRAINER DEMO AREA  |  Flash Fill patterns demonstrated live</t>
  </si>
  <si>
    <t>Source Data (Col A)
Full Names</t>
  </si>
  <si>
    <t>Flash Fill →
First Name (Col B)</t>
  </si>
  <si>
    <t>Flash Fill →
Last Name (Col C)</t>
  </si>
  <si>
    <t>Phone Source (Col D)</t>
  </si>
  <si>
    <t>Flash Fill →
Formatted Phone (Col E)</t>
  </si>
  <si>
    <t>Trainer Notes</t>
  </si>
  <si>
    <t>Ahmed Al Rashidi</t>
  </si>
  <si>
    <t>Ahmed</t>
  </si>
  <si>
    <t>Al Rashidi</t>
  </si>
  <si>
    <t>Trainer: type 'Ahmed' in B5, press Enter in B6 to trigger</t>
  </si>
  <si>
    <t>Sarah Johnson</t>
  </si>
  <si>
    <t>Sarah</t>
  </si>
  <si>
    <t>Johnson</t>
  </si>
  <si>
    <t>055-298-7654</t>
  </si>
  <si>
    <t>Flash Fill detects the first-name pattern automatically</t>
  </si>
  <si>
    <t>Mohammed Al Farsi</t>
  </si>
  <si>
    <t>Mohammed</t>
  </si>
  <si>
    <t>Al Farsi</t>
  </si>
  <si>
    <t>056-123-4567</t>
  </si>
  <si>
    <t>Now try last name — type 'Al Rashidi' in C5</t>
  </si>
  <si>
    <t>Priya Sharma</t>
  </si>
  <si>
    <t>Priya</t>
  </si>
  <si>
    <t>Sharma</t>
  </si>
  <si>
    <t>050-112-2334</t>
  </si>
  <si>
    <t>Show: pressing Ctrl+E fills the rest of the column</t>
  </si>
  <si>
    <t>Khalid Al Mansoori</t>
  </si>
  <si>
    <t>Khalid</t>
  </si>
  <si>
    <t>Al Mansoori</t>
  </si>
  <si>
    <t>055-887-7665</t>
  </si>
  <si>
    <t>Phone demo: type formatted number in E5, Ctrl+E</t>
  </si>
  <si>
    <t>Emma Williams</t>
  </si>
  <si>
    <t>Emma</t>
  </si>
  <si>
    <t>Williams</t>
  </si>
  <si>
    <t>050-765-4321</t>
  </si>
  <si>
    <t>Now DISABLE auto Flash Fill: File→Options→Advanced</t>
  </si>
  <si>
    <t>Fatima Al Zaabi</t>
  </si>
  <si>
    <t>Fatima</t>
  </si>
  <si>
    <t>Al Zaabi</t>
  </si>
  <si>
    <t>050-345-6789</t>
  </si>
  <si>
    <t>With auto OFF, test typing a pattern — no grey preview</t>
  </si>
  <si>
    <t>Daniel Brown</t>
  </si>
  <si>
    <t>Daniel</t>
  </si>
  <si>
    <t>Brown</t>
  </si>
  <si>
    <t>050-400-1122</t>
  </si>
  <si>
    <t>Re-enable: same path — confirm preview returns</t>
  </si>
  <si>
    <t>🟢  STUDENT PRACTICAL TASKS  |  Flash Fill exercises</t>
  </si>
  <si>
    <t>Source: Last, First (Col A)</t>
  </si>
  <si>
    <t>Task 1:
Extract First Name</t>
  </si>
  <si>
    <t>Task 2:
Extract Last Name</t>
  </si>
  <si>
    <t>Source: Name / Domain</t>
  </si>
  <si>
    <t>Task 3:
Create Email Address</t>
  </si>
  <si>
    <t>Source: YYYYMMDD Dates</t>
  </si>
  <si>
    <t>Task 4:
Reformat to DD-MMM-YYYY</t>
  </si>
  <si>
    <t>⬅ Source data (Last, First format)
Type example in col B → Flash Fill</t>
  </si>
  <si>
    <t>Extract FIRST name
Type: Khalid
Then Ctrl+E</t>
  </si>
  <si>
    <t>Extract LAST name
Type: Al Mansouri
Then Ctrl+E</t>
  </si>
  <si>
    <t>⬅ Source: FirstName + @company.ae</t>
  </si>
  <si>
    <t>Combine: firstname.lastname@company.ae
Type first → Ctrl+E</t>
  </si>
  <si>
    <t>⬅ Source dates in YYYYMMDD
format (e.g., 20250115)</t>
  </si>
  <si>
    <t>Reformat to DD-MMM-YYYY
Type: 15-Jan-2025
Ctrl+E for rest</t>
  </si>
  <si>
    <t>Al Mansouri, Khalid</t>
  </si>
  <si>
    <t>Khalid@alpha.ae</t>
  </si>
  <si>
    <t>Johnson, Sarah</t>
  </si>
  <si>
    <t>Sarah@beta.ae</t>
  </si>
  <si>
    <t>Al Farsi, Mohammed</t>
  </si>
  <si>
    <t>Mohammed@gamma.ae</t>
  </si>
  <si>
    <t>Sharma, Priya</t>
  </si>
  <si>
    <t>Priya@delta.ae</t>
  </si>
  <si>
    <t>Williams, Emma</t>
  </si>
  <si>
    <t>Emma@alpha.ae</t>
  </si>
  <si>
    <t>Al Zaabi, Fatima</t>
  </si>
  <si>
    <t>Fatima@beta.ae</t>
  </si>
  <si>
    <t>Brown, Daniel</t>
  </si>
  <si>
    <t>Daniel@gamma.ae</t>
  </si>
  <si>
    <t>Al Rashidi, Ahmed</t>
  </si>
  <si>
    <t>Ahmed@alpha.ae</t>
  </si>
  <si>
    <t>⚠  IMPORTANT REMINDER: Flash Fill results are STATIC — they do not update if source data changes. Change a name in column A after Flash Fill and check column B — it will NOT update automatically. Use formulas (LEFT, RIGHT, MID, FIND) for dynamic extraction.</t>
  </si>
  <si>
    <t>🔧  TASK 4 &amp; 5: Disable &amp; Re-Enable Flash Fill — Follow these steps</t>
  </si>
  <si>
    <t>Step 1</t>
  </si>
  <si>
    <t>Click File → Options → Advanced</t>
  </si>
  <si>
    <t>Step 2</t>
  </si>
  <si>
    <t>Scroll down to 'Editing options' section</t>
  </si>
  <si>
    <t>Step 3</t>
  </si>
  <si>
    <t>UNCHECK the box: 'Automatically Flash Fill'  →  Click OK</t>
  </si>
  <si>
    <t>Step 4</t>
  </si>
  <si>
    <t>Return to this sheet. Type a pattern in an empty column. Confirm: no grey preview appears.</t>
  </si>
  <si>
    <t>Step 5</t>
  </si>
  <si>
    <t>Press Ctrl+E manually — Flash Fill STILL works on demand even when auto is OFF.</t>
  </si>
  <si>
    <t>Step 6</t>
  </si>
  <si>
    <t>Return to File → Options → Advanced → RE-CHECK 'Automatically Flash Fill' → OK</t>
  </si>
  <si>
    <t>Step 7</t>
  </si>
  <si>
    <t>Verify: type a pattern again — grey preview should reappear automatically.</t>
  </si>
  <si>
    <t>SHEET 4: Data Validation  |  Topic 4 — Trainer Demo + Student Practical</t>
  </si>
  <si>
    <t>🟡  TRAINER DEMO AREA  |  Validation types demonstrated live by trainer</t>
  </si>
  <si>
    <t>DEPT LIST (reference range for dropdown)</t>
  </si>
  <si>
    <t>Validation Type</t>
  </si>
  <si>
    <t>Demo Cell
(Trainer uses)</t>
  </si>
  <si>
    <t>Allow Setting</t>
  </si>
  <si>
    <t>Rule</t>
  </si>
  <si>
    <t>Input Message</t>
  </si>
  <si>
    <t>Error Alert</t>
  </si>
  <si>
    <t>Test Value (try this)</t>
  </si>
  <si>
    <t>Sales</t>
  </si>
  <si>
    <t>1. Whole Number</t>
  </si>
  <si>
    <t>B5</t>
  </si>
  <si>
    <t>Whole Number</t>
  </si>
  <si>
    <t>Between 1-100</t>
  </si>
  <si>
    <t>Score (1-100)</t>
  </si>
  <si>
    <t>Stop: must be 1-100</t>
  </si>
  <si>
    <t>Try: 150 (fails), 50 (passes)</t>
  </si>
  <si>
    <t>Marketing</t>
  </si>
  <si>
    <t>2. Dropdown List</t>
  </si>
  <si>
    <t>B6</t>
  </si>
  <si>
    <t>List</t>
  </si>
  <si>
    <t>Sales/Mktg/Finance/Ops/HR</t>
  </si>
  <si>
    <t>Select Department</t>
  </si>
  <si>
    <t>Stop: choose from list</t>
  </si>
  <si>
    <t>Click dropdown arrow</t>
  </si>
  <si>
    <t>Finance</t>
  </si>
  <si>
    <t>3. Date Range</t>
  </si>
  <si>
    <t>B7</t>
  </si>
  <si>
    <t>Date</t>
  </si>
  <si>
    <t>Between 01/01/2025-31/12/2025</t>
  </si>
  <si>
    <t>Enter 2025 date</t>
  </si>
  <si>
    <t>Stop: must be in 2025</t>
  </si>
  <si>
    <t>Try: 01/01/2024 (fails)</t>
  </si>
  <si>
    <t>Operations</t>
  </si>
  <si>
    <t>4. Custom LEN()</t>
  </si>
  <si>
    <t>B8</t>
  </si>
  <si>
    <t>Custom</t>
  </si>
  <si>
    <t>Enter 10-digit number</t>
  </si>
  <si>
    <t>Stop: exactly 10 digits</t>
  </si>
  <si>
    <t>Try: 12345 (fails), 1234567890 (passes)</t>
  </si>
  <si>
    <t>HR</t>
  </si>
  <si>
    <t>5. Decimal Range</t>
  </si>
  <si>
    <t>B9</t>
  </si>
  <si>
    <t>Decimal</t>
  </si>
  <si>
    <t>Between 0.0-5.0</t>
  </si>
  <si>
    <t>Rating (0.0 to 5.0)</t>
  </si>
  <si>
    <t>Warning: keep 0-5 range</t>
  </si>
  <si>
    <t>Try: 6.5 (warning, can override)</t>
  </si>
  <si>
    <t>🟢  STUDENT PRACTICAL TASKS  |  Apply data validation to the employee entry form below</t>
  </si>
  <si>
    <t>Employee #</t>
  </si>
  <si>
    <t>Age
(18-65)</t>
  </si>
  <si>
    <t>Department
(Dropdown)</t>
  </si>
  <si>
    <t>Start Date
(≥ 01/01/2020)</t>
  </si>
  <si>
    <t>Employee ID
(8 chars)</t>
  </si>
  <si>
    <t>Rating
(0.0-5.0)</t>
  </si>
  <si>
    <t>Notes / Comments</t>
  </si>
  <si>
    <t>APPLY VALIDATION →</t>
  </si>
  <si>
    <t>Whole number
18 to 65
+ Input Message
+ Stop alert</t>
  </si>
  <si>
    <t>List from H4:H8
(dept ref range)
Dropdown required</t>
  </si>
  <si>
    <t>Date ≥ 01/01/2020
Warning alert
(not Stop)</t>
  </si>
  <si>
    <t>Custom: LEN=8
+ Input Message
exact 8 chars</t>
  </si>
  <si>
    <t>Decimal 0.0-5.0
+ Input Message
+ Info alert</t>
  </si>
  <si>
    <t>No validation
Free text</t>
  </si>
  <si>
    <t>EMP-100</t>
  </si>
  <si>
    <t>EMP00123</t>
  </si>
  <si>
    <t>Excellent performer</t>
  </si>
  <si>
    <t>EMP-101</t>
  </si>
  <si>
    <t>Unknown</t>
  </si>
  <si>
    <t>SHORT</t>
  </si>
  <si>
    <t>⚠ Row has INVALID data — use Circle Invalid Data</t>
  </si>
  <si>
    <t>EMP-102</t>
  </si>
  <si>
    <t>EMP00456</t>
  </si>
  <si>
    <t>Good team player</t>
  </si>
  <si>
    <t>EMP-103</t>
  </si>
  <si>
    <t>EMP00789</t>
  </si>
  <si>
    <t>New hire</t>
  </si>
  <si>
    <t>EMP-104</t>
  </si>
  <si>
    <t>EMP01011</t>
  </si>
  <si>
    <t>Needs improvement plan</t>
  </si>
  <si>
    <t>EMP-105</t>
  </si>
  <si>
    <t>TOOLONG99</t>
  </si>
  <si>
    <t>EMP-106</t>
  </si>
  <si>
    <t>EMP01213</t>
  </si>
  <si>
    <t>Top salesperson</t>
  </si>
  <si>
    <t>EMP-107</t>
  </si>
  <si>
    <t>EMP01415</t>
  </si>
  <si>
    <t>Senior analyst</t>
  </si>
  <si>
    <t>💡 TASK 5 (AUDIT): Rows highlighted in red above contain INVALID data. Go to Data tab → Data Validation dropdown → Circle Invalid Data to identify them with red circles. Then click Clear Validation Circles to remove the circles.</t>
  </si>
  <si>
    <t>💡 TRAINER TIP: Walk through all 3 Error Alert styles: STOP (red circle icon — blocks entry), WARNING (yellow triangle — allows override with 'Yes'), INFORMATION (blue 'i' — just notifies, always allows). Students can test this by changing the Rating column (F) validation style from Information to Stop.</t>
  </si>
  <si>
    <t>Done</t>
  </si>
  <si>
    <t>INV_1001</t>
  </si>
  <si>
    <t>INV_1002</t>
  </si>
  <si>
    <t>INV_1003</t>
  </si>
  <si>
    <t>INV_1004</t>
  </si>
  <si>
    <t>INV_1005</t>
  </si>
  <si>
    <t>INV_1006</t>
  </si>
  <si>
    <t>INV_1007</t>
  </si>
  <si>
    <t>INV_1008</t>
  </si>
  <si>
    <t>INV_1009</t>
  </si>
  <si>
    <t>INV_1010</t>
  </si>
  <si>
    <t>INV_1011</t>
  </si>
  <si>
    <t>INV_1012</t>
  </si>
  <si>
    <t>INV_1013</t>
  </si>
  <si>
    <t>INV_1014</t>
  </si>
  <si>
    <t>INV_1015</t>
  </si>
  <si>
    <t>INV_1016</t>
  </si>
  <si>
    <t>INV_1017</t>
  </si>
  <si>
    <t>INV_1018</t>
  </si>
  <si>
    <t>INV_1019</t>
  </si>
  <si>
    <t>INV_1020</t>
  </si>
  <si>
    <t>INV_1021</t>
  </si>
  <si>
    <t>INV_1022</t>
  </si>
  <si>
    <t>INV_1023</t>
  </si>
  <si>
    <t>INV_1024</t>
  </si>
  <si>
    <t>INV_1025</t>
  </si>
  <si>
    <t>INV_1026</t>
  </si>
  <si>
    <t>Development</t>
  </si>
  <si>
    <t>Testing</t>
  </si>
  <si>
    <t>Al Mansouri</t>
  </si>
  <si>
    <t>Khalid.AlMansouri@alpha.ae</t>
  </si>
  <si>
    <t>Sarah.Johnson@beta.ae</t>
  </si>
  <si>
    <t>Mohammed.AlFarsi@gamma.ae</t>
  </si>
  <si>
    <t>Priya.Sharma@delta.ae</t>
  </si>
  <si>
    <t>Emma.Williams@alpha.ae</t>
  </si>
  <si>
    <t>Fatima.AlZaabi@beta.ae</t>
  </si>
  <si>
    <t>Daniel.Brown@gamma.ae</t>
  </si>
  <si>
    <t>Ahmed.AlRashidi@alpha.ae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</si>
</sst>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dd\-mmm\-yyyy"/>
    <numFmt numFmtId="166" formatCode="&quot;SAR &quot;#,##0\ &quot;per month&quot;"/>
    <numFmt numFmtId="167" formatCode="#,##0.0,,&quot; M&quot;"/>
    <numFmt numFmtId="169" formatCode="0##\-###\-####"/>
    <numFmt numFmtId="170" formatCode="ddd\,\ dd\ mm\ yyyy"/>
    <numFmt numFmtId="171" formatCode="[Blue]#,##0;[Red]\(#,##0\);[Black]&quot;-&quot;"/>
  </numFmts>
  <fonts count="32" x14ac:knownFonts="1">
    <font>
      <sz val="11"/>
      <color theme="1"/>
      <name val="Calibri"/>
      <scheme val="minor"/>
    </font>
    <font>
      <b/>
      <sz val="16"/>
      <color rgb="FFFFFFFF"/>
      <name val="Arial"/>
    </font>
    <font>
      <sz val="11"/>
      <name val="Calibri"/>
    </font>
    <font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7F4000"/>
      <name val="Arial"/>
    </font>
    <font>
      <sz val="10"/>
      <color rgb="FF375623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375623"/>
      <name val="Arial"/>
    </font>
    <font>
      <b/>
      <sz val="9"/>
      <color rgb="FF000000"/>
      <name val="Arial"/>
    </font>
    <font>
      <sz val="11"/>
      <color theme="1"/>
      <name val="Calibri"/>
    </font>
    <font>
      <i/>
      <sz val="9"/>
      <color rgb="FF7F4000"/>
      <name val="Arial"/>
    </font>
    <font>
      <i/>
      <sz val="9"/>
      <color rgb="FF555555"/>
      <name val="Arial"/>
    </font>
    <font>
      <i/>
      <sz val="9"/>
      <color rgb="FFC00000"/>
      <name val="Arial"/>
    </font>
    <font>
      <b/>
      <sz val="10"/>
      <color rgb="FF000000"/>
      <name val="Arial"/>
    </font>
    <font>
      <b/>
      <sz val="9"/>
      <color rgb="FF1F3864"/>
      <name val="Arial"/>
    </font>
    <font>
      <sz val="10"/>
      <color rgb="FFC00000"/>
      <name val="Arial"/>
    </font>
    <font>
      <b/>
      <sz val="10"/>
      <color rgb="FFC00000"/>
      <name val="Arial"/>
    </font>
    <font>
      <sz val="11"/>
      <color theme="1"/>
      <name val="Calibri"/>
      <scheme val="minor"/>
    </font>
    <font>
      <i/>
      <sz val="9"/>
      <color rgb="FF7F0000"/>
      <name val="Arial"/>
    </font>
    <font>
      <sz val="10"/>
      <color rgb="FF00000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375623"/>
      <name val="Arial"/>
      <family val="2"/>
    </font>
    <font>
      <sz val="8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C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FFFDE7"/>
        <bgColor rgb="FFFFFDE7"/>
      </patternFill>
    </fill>
    <fill>
      <patternFill patternType="solid">
        <fgColor rgb="FF375623"/>
        <bgColor rgb="FF375623"/>
      </patternFill>
    </fill>
    <fill>
      <patternFill patternType="solid">
        <fgColor rgb="FFF0FFF0"/>
        <bgColor rgb="FFF0FFF0"/>
      </patternFill>
    </fill>
    <fill>
      <patternFill patternType="solid">
        <fgColor rgb="FFFCE4D6"/>
        <bgColor rgb="FFFCE4D6"/>
      </patternFill>
    </fill>
    <fill>
      <patternFill patternType="solid">
        <fgColor rgb="FF7B2C2C"/>
        <bgColor rgb="FF7B2C2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0">
    <xf numFmtId="0" fontId="0" fillId="0" borderId="0" xfId="0"/>
    <xf numFmtId="0" fontId="4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5" fillId="7" borderId="3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165" fontId="8" fillId="4" borderId="3" xfId="0" applyNumberFormat="1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5" fillId="4" borderId="3" xfId="0" applyFont="1" applyFill="1" applyBorder="1"/>
    <xf numFmtId="165" fontId="8" fillId="9" borderId="3" xfId="0" applyNumberFormat="1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5" fillId="9" borderId="3" xfId="0" applyFont="1" applyFill="1" applyBorder="1"/>
    <xf numFmtId="0" fontId="15" fillId="8" borderId="3" xfId="0" applyFont="1" applyFill="1" applyBorder="1"/>
    <xf numFmtId="0" fontId="8" fillId="6" borderId="3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5" fontId="8" fillId="8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165" fontId="22" fillId="12" borderId="3" xfId="0" applyNumberFormat="1" applyFont="1" applyFill="1" applyBorder="1" applyAlignment="1">
      <alignment horizontal="center" vertical="center" wrapText="1"/>
    </xf>
    <xf numFmtId="165" fontId="8" fillId="7" borderId="3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25" fillId="9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2" xfId="0" applyFont="1" applyBorder="1"/>
    <xf numFmtId="0" fontId="10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0" fillId="10" borderId="5" xfId="0" applyFont="1" applyFill="1" applyBorder="1" applyAlignment="1">
      <alignment horizontal="center" vertical="center" wrapText="1"/>
    </xf>
    <xf numFmtId="0" fontId="24" fillId="12" borderId="5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18" fillId="12" borderId="5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center" vertical="center" wrapText="1"/>
    </xf>
    <xf numFmtId="166" fontId="8" fillId="8" borderId="3" xfId="0" applyNumberFormat="1" applyFont="1" applyFill="1" applyBorder="1" applyAlignment="1">
      <alignment horizontal="center" vertical="center" wrapText="1"/>
    </xf>
    <xf numFmtId="166" fontId="8" fillId="7" borderId="3" xfId="0" applyNumberFormat="1" applyFont="1" applyFill="1" applyBorder="1" applyAlignment="1">
      <alignment horizontal="center" vertical="center" wrapText="1"/>
    </xf>
    <xf numFmtId="167" fontId="8" fillId="8" borderId="3" xfId="0" applyNumberFormat="1" applyFont="1" applyFill="1" applyBorder="1" applyAlignment="1">
      <alignment horizontal="center" vertical="center" wrapText="1"/>
    </xf>
    <xf numFmtId="167" fontId="8" fillId="7" borderId="3" xfId="0" applyNumberFormat="1" applyFont="1" applyFill="1" applyBorder="1" applyAlignment="1">
      <alignment horizontal="center" vertical="center" wrapText="1"/>
    </xf>
    <xf numFmtId="169" fontId="8" fillId="8" borderId="3" xfId="0" applyNumberFormat="1" applyFont="1" applyFill="1" applyBorder="1" applyAlignment="1">
      <alignment horizontal="center" vertical="center" wrapText="1"/>
    </xf>
    <xf numFmtId="169" fontId="8" fillId="7" borderId="3" xfId="0" applyNumberFormat="1" applyFont="1" applyFill="1" applyBorder="1" applyAlignment="1">
      <alignment horizontal="center" vertical="center" wrapText="1"/>
    </xf>
    <xf numFmtId="170" fontId="8" fillId="8" borderId="3" xfId="0" applyNumberFormat="1" applyFont="1" applyFill="1" applyBorder="1" applyAlignment="1">
      <alignment horizontal="center" vertical="center" wrapText="1"/>
    </xf>
    <xf numFmtId="170" fontId="8" fillId="7" borderId="3" xfId="0" applyNumberFormat="1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171" fontId="8" fillId="8" borderId="3" xfId="0" applyNumberFormat="1" applyFont="1" applyFill="1" applyBorder="1" applyAlignment="1">
      <alignment horizontal="center" vertical="center" wrapText="1"/>
    </xf>
    <xf numFmtId="171" fontId="8" fillId="7" borderId="3" xfId="0" applyNumberFormat="1" applyFont="1" applyFill="1" applyBorder="1" applyAlignment="1">
      <alignment horizontal="center" vertical="center" wrapText="1"/>
    </xf>
    <xf numFmtId="166" fontId="15" fillId="7" borderId="3" xfId="0" applyNumberFormat="1" applyFont="1" applyFill="1" applyBorder="1"/>
    <xf numFmtId="0" fontId="26" fillId="11" borderId="3" xfId="0" applyFont="1" applyFill="1" applyBorder="1"/>
    <xf numFmtId="0" fontId="26" fillId="8" borderId="3" xfId="0" applyFont="1" applyFill="1" applyBorder="1"/>
    <xf numFmtId="0" fontId="26" fillId="7" borderId="3" xfId="0" applyFont="1" applyFill="1" applyBorder="1"/>
    <xf numFmtId="15" fontId="26" fillId="8" borderId="3" xfId="0" applyNumberFormat="1" applyFont="1" applyFill="1" applyBorder="1" applyAlignment="1">
      <alignment wrapText="1"/>
    </xf>
    <xf numFmtId="15" fontId="15" fillId="8" borderId="3" xfId="0" applyNumberFormat="1" applyFont="1" applyFill="1" applyBorder="1"/>
    <xf numFmtId="0" fontId="27" fillId="7" borderId="3" xfId="1" applyFill="1" applyBorder="1"/>
    <xf numFmtId="15" fontId="15" fillId="7" borderId="3" xfId="0" applyNumberFormat="1" applyFont="1" applyFill="1" applyBorder="1"/>
    <xf numFmtId="0" fontId="30" fillId="12" borderId="3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left" vertical="center" wrapText="1"/>
    </xf>
    <xf numFmtId="0" fontId="25" fillId="8" borderId="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halid.AlMansouri@alpha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topLeftCell="A2" workbookViewId="0">
      <selection activeCell="A2" sqref="A2:B2"/>
    </sheetView>
  </sheetViews>
  <sheetFormatPr defaultColWidth="14.42578125" defaultRowHeight="15" customHeight="1" x14ac:dyDescent="0.25"/>
  <cols>
    <col min="1" max="1" width="28" customWidth="1"/>
    <col min="2" max="2" width="35" customWidth="1"/>
    <col min="3" max="4" width="18" customWidth="1"/>
    <col min="5" max="5" width="20" customWidth="1"/>
    <col min="6" max="26" width="8.7109375" customWidth="1"/>
  </cols>
  <sheetData>
    <row r="1" spans="1:5" x14ac:dyDescent="0.25">
      <c r="A1" s="53" t="s">
        <v>0</v>
      </c>
      <c r="B1" s="46"/>
    </row>
    <row r="2" spans="1:5" x14ac:dyDescent="0.25">
      <c r="A2" s="54" t="s">
        <v>1</v>
      </c>
      <c r="B2" s="46"/>
    </row>
    <row r="4" spans="1:5" ht="21.75" customHeight="1" x14ac:dyDescent="0.25">
      <c r="A4" s="1" t="s">
        <v>2</v>
      </c>
      <c r="B4" s="2"/>
    </row>
    <row r="5" spans="1:5" ht="21.75" customHeight="1" x14ac:dyDescent="0.25">
      <c r="A5" s="3" t="s">
        <v>3</v>
      </c>
      <c r="B5" s="3" t="s">
        <v>4</v>
      </c>
    </row>
    <row r="6" spans="1:5" ht="21.75" customHeight="1" x14ac:dyDescent="0.25">
      <c r="A6" s="4" t="s">
        <v>5</v>
      </c>
      <c r="B6" s="4" t="s">
        <v>6</v>
      </c>
    </row>
    <row r="7" spans="1:5" ht="21.75" customHeight="1" x14ac:dyDescent="0.25">
      <c r="A7" s="5" t="s">
        <v>7</v>
      </c>
      <c r="B7" s="5" t="s">
        <v>8</v>
      </c>
    </row>
    <row r="8" spans="1:5" ht="21.75" customHeight="1" x14ac:dyDescent="0.25">
      <c r="A8" s="6" t="s">
        <v>9</v>
      </c>
      <c r="B8" s="6" t="s">
        <v>10</v>
      </c>
    </row>
    <row r="9" spans="1:5" ht="12" customHeight="1" x14ac:dyDescent="0.25"/>
    <row r="10" spans="1:5" ht="24" customHeight="1" x14ac:dyDescent="0.25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</row>
    <row r="11" spans="1:5" ht="21.75" customHeight="1" x14ac:dyDescent="0.25">
      <c r="A11" s="8" t="s">
        <v>16</v>
      </c>
      <c r="B11" s="8" t="s">
        <v>17</v>
      </c>
      <c r="C11" s="8" t="s">
        <v>18</v>
      </c>
      <c r="D11" s="8" t="s">
        <v>19</v>
      </c>
      <c r="E11" s="8" t="s">
        <v>20</v>
      </c>
    </row>
    <row r="12" spans="1:5" ht="21.75" customHeight="1" x14ac:dyDescent="0.25">
      <c r="A12" s="9" t="s">
        <v>21</v>
      </c>
      <c r="B12" s="9" t="s">
        <v>22</v>
      </c>
      <c r="C12" s="9" t="s">
        <v>23</v>
      </c>
      <c r="D12" s="9" t="s">
        <v>24</v>
      </c>
      <c r="E12" s="9" t="s">
        <v>25</v>
      </c>
    </row>
    <row r="13" spans="1:5" ht="21.75" customHeight="1" x14ac:dyDescent="0.25">
      <c r="A13" s="8" t="s">
        <v>26</v>
      </c>
      <c r="B13" s="8" t="s">
        <v>27</v>
      </c>
      <c r="C13" s="8" t="s">
        <v>28</v>
      </c>
      <c r="D13" s="8" t="s">
        <v>25</v>
      </c>
      <c r="E13" s="8" t="s">
        <v>29</v>
      </c>
    </row>
    <row r="14" spans="1:5" ht="21.75" customHeight="1" x14ac:dyDescent="0.25">
      <c r="A14" s="9" t="s">
        <v>30</v>
      </c>
      <c r="B14" s="9" t="s">
        <v>31</v>
      </c>
      <c r="C14" s="9" t="s">
        <v>32</v>
      </c>
      <c r="D14" s="9" t="s">
        <v>24</v>
      </c>
      <c r="E14" s="9" t="s">
        <v>25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B1"/>
    <mergeCell ref="A2:B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topLeftCell="A14" zoomScale="103" workbookViewId="0">
      <selection activeCell="H15" sqref="H15:H21"/>
    </sheetView>
  </sheetViews>
  <sheetFormatPr defaultColWidth="14.42578125" defaultRowHeight="15" customHeight="1" x14ac:dyDescent="0.25"/>
  <cols>
    <col min="1" max="1" width="26" customWidth="1"/>
    <col min="2" max="2" width="24.140625" customWidth="1"/>
    <col min="3" max="3" width="25.28515625" customWidth="1"/>
    <col min="4" max="4" width="20" customWidth="1"/>
    <col min="5" max="6" width="18" customWidth="1"/>
    <col min="7" max="7" width="19.7109375" bestFit="1" customWidth="1"/>
    <col min="8" max="8" width="20" customWidth="1"/>
    <col min="9" max="26" width="8.7109375" customWidth="1"/>
  </cols>
  <sheetData>
    <row r="1" spans="1:8" ht="36" customHeight="1" x14ac:dyDescent="0.25">
      <c r="A1" s="44" t="s">
        <v>33</v>
      </c>
      <c r="B1" s="45"/>
      <c r="C1" s="45"/>
      <c r="D1" s="45"/>
      <c r="E1" s="45"/>
      <c r="F1" s="45"/>
      <c r="G1" s="45"/>
      <c r="H1" s="46"/>
    </row>
    <row r="3" spans="1:8" ht="24" customHeight="1" x14ac:dyDescent="0.25">
      <c r="A3" s="47" t="s">
        <v>34</v>
      </c>
      <c r="B3" s="48"/>
      <c r="C3" s="48"/>
      <c r="D3" s="48"/>
      <c r="E3" s="48"/>
      <c r="F3" s="48"/>
      <c r="G3" s="48"/>
      <c r="H3" s="49"/>
    </row>
    <row r="4" spans="1:8" ht="21.75" customHeight="1" x14ac:dyDescent="0.25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</row>
    <row r="5" spans="1:8" ht="21.75" customHeight="1" x14ac:dyDescent="0.25">
      <c r="A5" s="11" t="s">
        <v>40</v>
      </c>
      <c r="B5" s="12">
        <v>1500000</v>
      </c>
      <c r="C5" s="43" t="s">
        <v>41</v>
      </c>
      <c r="D5" s="12" t="s">
        <v>42</v>
      </c>
      <c r="E5" s="13" t="s">
        <v>43</v>
      </c>
    </row>
    <row r="6" spans="1:8" ht="21.75" customHeight="1" x14ac:dyDescent="0.25">
      <c r="A6" s="14" t="s">
        <v>44</v>
      </c>
      <c r="B6" s="15">
        <v>2500</v>
      </c>
      <c r="C6" s="14" t="s">
        <v>45</v>
      </c>
      <c r="D6" s="15" t="s">
        <v>46</v>
      </c>
      <c r="E6" s="16" t="s">
        <v>47</v>
      </c>
    </row>
    <row r="7" spans="1:8" ht="21.75" customHeight="1" x14ac:dyDescent="0.25">
      <c r="A7" s="11" t="s">
        <v>48</v>
      </c>
      <c r="B7" s="12">
        <v>1500000</v>
      </c>
      <c r="C7" s="11" t="s">
        <v>49</v>
      </c>
      <c r="D7" s="12" t="s">
        <v>50</v>
      </c>
      <c r="E7" s="13" t="s">
        <v>51</v>
      </c>
    </row>
    <row r="8" spans="1:8" ht="21.75" customHeight="1" x14ac:dyDescent="0.25">
      <c r="A8" s="14" t="s">
        <v>52</v>
      </c>
      <c r="B8" s="15">
        <v>504123456</v>
      </c>
      <c r="C8" s="14" t="s">
        <v>53</v>
      </c>
      <c r="D8" s="15" t="s">
        <v>54</v>
      </c>
      <c r="E8" s="16" t="s">
        <v>55</v>
      </c>
    </row>
    <row r="9" spans="1:8" ht="21.75" customHeight="1" x14ac:dyDescent="0.25">
      <c r="A9" s="11" t="s">
        <v>56</v>
      </c>
      <c r="B9" s="12">
        <v>-3200</v>
      </c>
      <c r="C9" s="11" t="s">
        <v>57</v>
      </c>
      <c r="D9" s="12" t="s">
        <v>58</v>
      </c>
      <c r="E9" s="13" t="s">
        <v>59</v>
      </c>
    </row>
    <row r="10" spans="1:8" ht="21.75" customHeight="1" x14ac:dyDescent="0.25">
      <c r="A10" s="14" t="s">
        <v>60</v>
      </c>
      <c r="B10" s="17">
        <v>45672</v>
      </c>
      <c r="C10" s="14" t="s">
        <v>61</v>
      </c>
      <c r="D10" s="15" t="s">
        <v>62</v>
      </c>
      <c r="E10" s="16" t="s">
        <v>63</v>
      </c>
    </row>
    <row r="11" spans="1:8" ht="12" customHeight="1" x14ac:dyDescent="0.25"/>
    <row r="12" spans="1:8" ht="24" customHeight="1" x14ac:dyDescent="0.25">
      <c r="A12" s="50" t="s">
        <v>64</v>
      </c>
      <c r="B12" s="48"/>
      <c r="C12" s="48"/>
      <c r="D12" s="48"/>
      <c r="E12" s="48"/>
      <c r="F12" s="48"/>
      <c r="G12" s="48"/>
      <c r="H12" s="49"/>
    </row>
    <row r="13" spans="1:8" ht="30" customHeight="1" x14ac:dyDescent="0.25">
      <c r="A13" s="18" t="s">
        <v>65</v>
      </c>
      <c r="B13" s="18" t="s">
        <v>66</v>
      </c>
      <c r="C13" s="18" t="s">
        <v>67</v>
      </c>
      <c r="D13" s="18" t="s">
        <v>68</v>
      </c>
      <c r="E13" s="18" t="s">
        <v>69</v>
      </c>
      <c r="F13" s="18" t="s">
        <v>70</v>
      </c>
      <c r="G13" s="18" t="s">
        <v>71</v>
      </c>
      <c r="H13" s="18" t="s">
        <v>72</v>
      </c>
    </row>
    <row r="14" spans="1:8" ht="49.5" customHeight="1" x14ac:dyDescent="0.25">
      <c r="A14" s="19" t="s">
        <v>73</v>
      </c>
      <c r="B14" s="19" t="s">
        <v>74</v>
      </c>
      <c r="C14" s="19" t="s">
        <v>75</v>
      </c>
      <c r="D14" s="19" t="s">
        <v>76</v>
      </c>
      <c r="E14" s="66" t="s">
        <v>77</v>
      </c>
      <c r="F14" s="19" t="s">
        <v>78</v>
      </c>
      <c r="G14" s="19" t="s">
        <v>79</v>
      </c>
      <c r="H14" s="19"/>
    </row>
    <row r="15" spans="1:8" ht="19.5" customHeight="1" x14ac:dyDescent="0.25">
      <c r="A15" s="20" t="s">
        <v>80</v>
      </c>
      <c r="B15" s="58">
        <v>8500</v>
      </c>
      <c r="C15" s="60">
        <v>3500000</v>
      </c>
      <c r="D15" s="62">
        <v>504123456</v>
      </c>
      <c r="E15" s="67">
        <v>15000</v>
      </c>
      <c r="F15" s="64">
        <v>45672</v>
      </c>
      <c r="G15" s="69">
        <f>B15</f>
        <v>8500</v>
      </c>
      <c r="H15" s="70" t="s">
        <v>317</v>
      </c>
    </row>
    <row r="16" spans="1:8" ht="19.5" customHeight="1" x14ac:dyDescent="0.25">
      <c r="A16" s="20" t="s">
        <v>81</v>
      </c>
      <c r="B16" s="59">
        <v>12000</v>
      </c>
      <c r="C16" s="61">
        <v>12000000</v>
      </c>
      <c r="D16" s="63">
        <v>552987654</v>
      </c>
      <c r="E16" s="68">
        <v>-3200</v>
      </c>
      <c r="F16" s="65">
        <v>45738</v>
      </c>
      <c r="G16" s="69">
        <f t="shared" ref="G16:G21" si="0">B16</f>
        <v>12000</v>
      </c>
      <c r="H16" s="70" t="s">
        <v>317</v>
      </c>
    </row>
    <row r="17" spans="1:8" ht="19.5" customHeight="1" x14ac:dyDescent="0.25">
      <c r="A17" s="20" t="s">
        <v>82</v>
      </c>
      <c r="B17" s="58">
        <v>45000</v>
      </c>
      <c r="C17" s="60">
        <v>750000</v>
      </c>
      <c r="D17" s="62">
        <v>561234567</v>
      </c>
      <c r="E17" s="67">
        <v>8750</v>
      </c>
      <c r="F17" s="64">
        <v>45809</v>
      </c>
      <c r="G17" s="69">
        <f t="shared" si="0"/>
        <v>45000</v>
      </c>
      <c r="H17" s="70" t="s">
        <v>317</v>
      </c>
    </row>
    <row r="18" spans="1:8" ht="19.5" customHeight="1" x14ac:dyDescent="0.25">
      <c r="A18" s="20" t="s">
        <v>83</v>
      </c>
      <c r="B18" s="59">
        <v>22000</v>
      </c>
      <c r="C18" s="61">
        <v>48000000</v>
      </c>
      <c r="D18" s="63">
        <v>501122334</v>
      </c>
      <c r="E18" s="68">
        <v>-500</v>
      </c>
      <c r="F18" s="65">
        <v>45910</v>
      </c>
      <c r="G18" s="69">
        <f t="shared" si="0"/>
        <v>22000</v>
      </c>
      <c r="H18" s="70" t="s">
        <v>317</v>
      </c>
    </row>
    <row r="19" spans="1:8" ht="19.5" customHeight="1" x14ac:dyDescent="0.25">
      <c r="A19" s="20" t="s">
        <v>84</v>
      </c>
      <c r="B19" s="58">
        <v>33500</v>
      </c>
      <c r="C19" s="60">
        <v>2100000</v>
      </c>
      <c r="D19" s="62">
        <v>558877665</v>
      </c>
      <c r="E19" s="67">
        <v>42000</v>
      </c>
      <c r="F19" s="64">
        <v>45657</v>
      </c>
      <c r="G19" s="69">
        <f t="shared" si="0"/>
        <v>33500</v>
      </c>
      <c r="H19" s="70" t="s">
        <v>317</v>
      </c>
    </row>
    <row r="20" spans="1:8" ht="19.5" customHeight="1" x14ac:dyDescent="0.25">
      <c r="A20" s="20" t="s">
        <v>85</v>
      </c>
      <c r="B20" s="59">
        <v>67000</v>
      </c>
      <c r="C20" s="61">
        <v>890000</v>
      </c>
      <c r="D20" s="63">
        <v>507654321</v>
      </c>
      <c r="E20" s="68">
        <v>-12500</v>
      </c>
      <c r="F20" s="65">
        <v>45752</v>
      </c>
      <c r="G20" s="69">
        <f t="shared" si="0"/>
        <v>67000</v>
      </c>
      <c r="H20" s="70" t="s">
        <v>317</v>
      </c>
    </row>
    <row r="21" spans="1:8" ht="19.5" customHeight="1" x14ac:dyDescent="0.25">
      <c r="A21" s="20" t="s">
        <v>86</v>
      </c>
      <c r="B21" s="58">
        <v>18500</v>
      </c>
      <c r="C21" s="60">
        <v>15600000</v>
      </c>
      <c r="D21" s="62">
        <v>503456789</v>
      </c>
      <c r="E21" s="67">
        <v>6600</v>
      </c>
      <c r="F21" s="64">
        <v>45857</v>
      </c>
      <c r="G21" s="69">
        <f t="shared" si="0"/>
        <v>18500</v>
      </c>
      <c r="H21" s="70" t="s">
        <v>317</v>
      </c>
    </row>
    <row r="22" spans="1:8" ht="15.75" customHeight="1" x14ac:dyDescent="0.25"/>
    <row r="23" spans="1:8" ht="30" customHeight="1" x14ac:dyDescent="0.25">
      <c r="A23" s="52" t="s">
        <v>87</v>
      </c>
      <c r="B23" s="48"/>
      <c r="C23" s="48"/>
      <c r="D23" s="48"/>
      <c r="E23" s="48"/>
      <c r="F23" s="48"/>
      <c r="G23" s="48"/>
      <c r="H23" s="49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H1"/>
    <mergeCell ref="A3:H3"/>
    <mergeCell ref="A12:H12"/>
    <mergeCell ref="A23:H2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opLeftCell="A11" zoomScale="89" workbookViewId="0">
      <selection activeCell="G5" sqref="G5:G14"/>
    </sheetView>
  </sheetViews>
  <sheetFormatPr defaultColWidth="14.42578125" defaultRowHeight="15" customHeight="1" x14ac:dyDescent="0.25"/>
  <cols>
    <col min="1" max="1" width="26" customWidth="1"/>
    <col min="2" max="4" width="18" customWidth="1"/>
    <col min="5" max="5" width="20" customWidth="1"/>
    <col min="6" max="6" width="22" customWidth="1"/>
    <col min="7" max="7" width="18" customWidth="1"/>
    <col min="8" max="8" width="14" customWidth="1"/>
    <col min="9" max="26" width="8.7109375" customWidth="1"/>
  </cols>
  <sheetData>
    <row r="1" spans="1:8" ht="36" customHeight="1" x14ac:dyDescent="0.25">
      <c r="A1" s="44" t="s">
        <v>88</v>
      </c>
      <c r="B1" s="45"/>
      <c r="C1" s="45"/>
      <c r="D1" s="45"/>
      <c r="E1" s="45"/>
      <c r="F1" s="45"/>
      <c r="G1" s="45"/>
      <c r="H1" s="46"/>
    </row>
    <row r="3" spans="1:8" ht="24" customHeight="1" x14ac:dyDescent="0.25">
      <c r="A3" s="47" t="s">
        <v>89</v>
      </c>
      <c r="B3" s="48"/>
      <c r="C3" s="48"/>
      <c r="D3" s="48"/>
      <c r="E3" s="48"/>
      <c r="F3" s="48"/>
      <c r="G3" s="48"/>
      <c r="H3" s="49"/>
    </row>
    <row r="4" spans="1:8" ht="21.75" customHeight="1" x14ac:dyDescent="0.25">
      <c r="A4" s="22" t="s">
        <v>90</v>
      </c>
      <c r="B4" s="22" t="s">
        <v>91</v>
      </c>
      <c r="C4" s="22" t="s">
        <v>92</v>
      </c>
      <c r="D4" s="22" t="s">
        <v>93</v>
      </c>
      <c r="E4" s="22" t="s">
        <v>94</v>
      </c>
      <c r="F4" s="22" t="s">
        <v>95</v>
      </c>
      <c r="G4" s="22"/>
      <c r="H4" s="22"/>
    </row>
    <row r="5" spans="1:8" ht="19.5" customHeight="1" x14ac:dyDescent="0.25">
      <c r="A5" s="23" t="s">
        <v>80</v>
      </c>
      <c r="B5" s="15">
        <v>100</v>
      </c>
      <c r="C5" s="15">
        <v>2</v>
      </c>
      <c r="D5" s="24">
        <v>45658</v>
      </c>
      <c r="E5" s="24">
        <v>45663</v>
      </c>
      <c r="F5" s="25" t="s">
        <v>96</v>
      </c>
      <c r="G5" s="26"/>
      <c r="H5" s="26"/>
    </row>
    <row r="6" spans="1:8" ht="19.5" customHeight="1" x14ac:dyDescent="0.25">
      <c r="A6" s="23" t="s">
        <v>81</v>
      </c>
      <c r="B6" s="12">
        <v>150</v>
      </c>
      <c r="C6" s="12">
        <v>6</v>
      </c>
      <c r="D6" s="27">
        <v>45689</v>
      </c>
      <c r="E6" s="27">
        <v>45664</v>
      </c>
      <c r="F6" s="28" t="s">
        <v>97</v>
      </c>
      <c r="G6" s="26"/>
      <c r="H6" s="29"/>
    </row>
    <row r="7" spans="1:8" ht="19.5" customHeight="1" x14ac:dyDescent="0.25">
      <c r="A7" s="23" t="s">
        <v>82</v>
      </c>
      <c r="B7" s="15">
        <v>200</v>
      </c>
      <c r="C7" s="15">
        <v>18</v>
      </c>
      <c r="D7" s="24">
        <v>45717</v>
      </c>
      <c r="E7" s="24">
        <v>45665</v>
      </c>
      <c r="F7" s="25" t="s">
        <v>98</v>
      </c>
      <c r="G7" s="26"/>
      <c r="H7" s="26"/>
    </row>
    <row r="8" spans="1:8" ht="19.5" customHeight="1" x14ac:dyDescent="0.25">
      <c r="A8" s="23" t="s">
        <v>83</v>
      </c>
      <c r="B8" s="12">
        <v>250</v>
      </c>
      <c r="C8" s="12">
        <v>54</v>
      </c>
      <c r="D8" s="27">
        <v>45748</v>
      </c>
      <c r="E8" s="27">
        <v>45666</v>
      </c>
      <c r="F8" s="28" t="s">
        <v>99</v>
      </c>
      <c r="G8" s="26"/>
      <c r="H8" s="29"/>
    </row>
    <row r="9" spans="1:8" ht="19.5" customHeight="1" x14ac:dyDescent="0.25">
      <c r="A9" s="23" t="s">
        <v>84</v>
      </c>
      <c r="B9" s="15">
        <v>300</v>
      </c>
      <c r="C9" s="15">
        <v>162</v>
      </c>
      <c r="D9" s="24">
        <v>45778</v>
      </c>
      <c r="E9" s="24">
        <v>45667</v>
      </c>
      <c r="F9" s="25"/>
      <c r="G9" s="26"/>
      <c r="H9" s="26"/>
    </row>
    <row r="10" spans="1:8" ht="19.5" customHeight="1" x14ac:dyDescent="0.25">
      <c r="A10" s="23" t="s">
        <v>85</v>
      </c>
      <c r="B10" s="12">
        <v>350</v>
      </c>
      <c r="C10" s="12">
        <v>486</v>
      </c>
      <c r="D10" s="27">
        <v>45809</v>
      </c>
      <c r="E10" s="27">
        <v>45670</v>
      </c>
      <c r="F10" s="28"/>
      <c r="G10" s="26"/>
      <c r="H10" s="29"/>
    </row>
    <row r="11" spans="1:8" ht="19.5" customHeight="1" x14ac:dyDescent="0.25">
      <c r="A11" s="23" t="s">
        <v>86</v>
      </c>
      <c r="B11" s="15">
        <v>400</v>
      </c>
      <c r="C11" s="15">
        <v>1458</v>
      </c>
      <c r="D11" s="24">
        <v>45839</v>
      </c>
      <c r="E11" s="24">
        <v>45671</v>
      </c>
      <c r="F11" s="25"/>
      <c r="G11" s="26"/>
      <c r="H11" s="26"/>
    </row>
    <row r="12" spans="1:8" ht="19.5" customHeight="1" x14ac:dyDescent="0.25">
      <c r="A12" s="23" t="s">
        <v>100</v>
      </c>
      <c r="B12" s="12">
        <v>450</v>
      </c>
      <c r="C12" s="12">
        <v>4374</v>
      </c>
      <c r="D12" s="27">
        <v>45870</v>
      </c>
      <c r="E12" s="27">
        <v>45672</v>
      </c>
      <c r="F12" s="28"/>
      <c r="G12" s="26"/>
      <c r="H12" s="29"/>
    </row>
    <row r="13" spans="1:8" ht="19.5" customHeight="1" x14ac:dyDescent="0.25">
      <c r="A13" s="23" t="s">
        <v>101</v>
      </c>
      <c r="B13" s="15">
        <v>500</v>
      </c>
      <c r="C13" s="15">
        <v>13122</v>
      </c>
      <c r="D13" s="24">
        <v>45901</v>
      </c>
      <c r="E13" s="24">
        <v>45673</v>
      </c>
      <c r="F13" s="25"/>
      <c r="G13" s="26"/>
      <c r="H13" s="26"/>
    </row>
    <row r="14" spans="1:8" ht="19.5" customHeight="1" x14ac:dyDescent="0.25">
      <c r="A14" s="23" t="s">
        <v>102</v>
      </c>
      <c r="B14" s="12">
        <v>550</v>
      </c>
      <c r="C14" s="12">
        <v>39366</v>
      </c>
      <c r="D14" s="27">
        <v>45931</v>
      </c>
      <c r="E14" s="27">
        <v>45674</v>
      </c>
      <c r="F14" s="28"/>
      <c r="G14" s="26"/>
      <c r="H14" s="29"/>
    </row>
    <row r="15" spans="1:8" ht="12" customHeight="1" x14ac:dyDescent="0.25"/>
    <row r="16" spans="1:8" ht="24" customHeight="1" x14ac:dyDescent="0.25">
      <c r="A16" s="50" t="s">
        <v>103</v>
      </c>
      <c r="B16" s="48"/>
      <c r="C16" s="48"/>
      <c r="D16" s="48"/>
      <c r="E16" s="48"/>
      <c r="F16" s="48"/>
      <c r="G16" s="48"/>
      <c r="H16" s="49"/>
    </row>
    <row r="17" spans="1:8" ht="21.75" customHeight="1" x14ac:dyDescent="0.25">
      <c r="A17" s="18" t="s">
        <v>65</v>
      </c>
      <c r="B17" s="18" t="s">
        <v>104</v>
      </c>
      <c r="C17" s="18" t="s">
        <v>105</v>
      </c>
      <c r="D17" s="18" t="s">
        <v>93</v>
      </c>
      <c r="E17" s="18" t="s">
        <v>106</v>
      </c>
      <c r="F17" s="18" t="s">
        <v>107</v>
      </c>
      <c r="G17" s="18" t="s">
        <v>108</v>
      </c>
      <c r="H17" s="18" t="s">
        <v>72</v>
      </c>
    </row>
    <row r="18" spans="1:8" ht="51.75" customHeight="1" x14ac:dyDescent="0.25">
      <c r="A18" s="19" t="s">
        <v>109</v>
      </c>
      <c r="B18" s="19" t="s">
        <v>110</v>
      </c>
      <c r="C18" s="19" t="s">
        <v>111</v>
      </c>
      <c r="D18" s="66" t="s">
        <v>112</v>
      </c>
      <c r="E18" s="19" t="s">
        <v>113</v>
      </c>
      <c r="F18" s="19" t="s">
        <v>114</v>
      </c>
      <c r="G18" s="19" t="s">
        <v>115</v>
      </c>
      <c r="H18" s="19"/>
    </row>
    <row r="19" spans="1:8" ht="18" customHeight="1" x14ac:dyDescent="0.25">
      <c r="A19" s="23" t="s">
        <v>80</v>
      </c>
      <c r="B19" s="71" t="s">
        <v>318</v>
      </c>
      <c r="C19" s="71">
        <v>10000</v>
      </c>
      <c r="D19" s="73">
        <v>45658</v>
      </c>
      <c r="E19" s="74">
        <v>45662</v>
      </c>
      <c r="F19" s="30" t="s">
        <v>344</v>
      </c>
      <c r="G19" s="30">
        <v>1</v>
      </c>
      <c r="H19" s="71" t="s">
        <v>317</v>
      </c>
    </row>
    <row r="20" spans="1:8" ht="18" customHeight="1" x14ac:dyDescent="0.25">
      <c r="A20" s="23" t="s">
        <v>81</v>
      </c>
      <c r="B20" s="72" t="s">
        <v>319</v>
      </c>
      <c r="C20" s="71">
        <v>11000</v>
      </c>
      <c r="D20" s="73">
        <v>45689</v>
      </c>
      <c r="E20" s="74">
        <v>45663</v>
      </c>
      <c r="F20" s="30" t="s">
        <v>345</v>
      </c>
      <c r="G20" s="21">
        <v>3</v>
      </c>
      <c r="H20" s="71" t="s">
        <v>317</v>
      </c>
    </row>
    <row r="21" spans="1:8" ht="18" customHeight="1" x14ac:dyDescent="0.25">
      <c r="A21" s="23" t="s">
        <v>82</v>
      </c>
      <c r="B21" s="72" t="s">
        <v>320</v>
      </c>
      <c r="C21" s="71">
        <v>12100.000000000002</v>
      </c>
      <c r="D21" s="73">
        <v>45717</v>
      </c>
      <c r="E21" s="74">
        <v>45664</v>
      </c>
      <c r="F21" s="30" t="s">
        <v>268</v>
      </c>
      <c r="G21" s="30">
        <v>5</v>
      </c>
      <c r="H21" s="71" t="s">
        <v>317</v>
      </c>
    </row>
    <row r="22" spans="1:8" ht="18" customHeight="1" x14ac:dyDescent="0.25">
      <c r="A22" s="23" t="s">
        <v>83</v>
      </c>
      <c r="B22" s="72" t="s">
        <v>321</v>
      </c>
      <c r="C22" s="71">
        <v>13310.000000000004</v>
      </c>
      <c r="D22" s="73">
        <v>45748</v>
      </c>
      <c r="E22" s="74">
        <v>45665</v>
      </c>
      <c r="F22" s="30" t="s">
        <v>253</v>
      </c>
      <c r="G22" s="21">
        <v>7</v>
      </c>
      <c r="H22" s="71" t="s">
        <v>317</v>
      </c>
    </row>
    <row r="23" spans="1:8" ht="18" customHeight="1" x14ac:dyDescent="0.25">
      <c r="A23" s="23" t="s">
        <v>84</v>
      </c>
      <c r="B23" s="72" t="s">
        <v>322</v>
      </c>
      <c r="C23" s="71">
        <v>14641.000000000004</v>
      </c>
      <c r="D23" s="73">
        <v>45778</v>
      </c>
      <c r="E23" s="74">
        <v>45666</v>
      </c>
      <c r="F23" s="30" t="s">
        <v>245</v>
      </c>
      <c r="G23" s="30">
        <v>9</v>
      </c>
      <c r="H23" s="71" t="s">
        <v>317</v>
      </c>
    </row>
    <row r="24" spans="1:8" ht="18" customHeight="1" x14ac:dyDescent="0.25">
      <c r="A24" s="23" t="s">
        <v>85</v>
      </c>
      <c r="B24" s="72" t="s">
        <v>323</v>
      </c>
      <c r="C24" s="71">
        <v>16105.100000000006</v>
      </c>
      <c r="D24" s="73">
        <v>45809</v>
      </c>
      <c r="E24" s="74">
        <v>45667</v>
      </c>
      <c r="F24" s="30" t="s">
        <v>344</v>
      </c>
      <c r="G24" s="21">
        <v>11</v>
      </c>
      <c r="H24" s="71" t="s">
        <v>317</v>
      </c>
    </row>
    <row r="25" spans="1:8" ht="18" customHeight="1" x14ac:dyDescent="0.25">
      <c r="A25" s="23" t="s">
        <v>86</v>
      </c>
      <c r="B25" s="72" t="s">
        <v>324</v>
      </c>
      <c r="C25" s="71">
        <v>17715.610000000008</v>
      </c>
      <c r="D25" s="73">
        <v>45839</v>
      </c>
      <c r="E25" s="74">
        <v>45670</v>
      </c>
      <c r="F25" s="30" t="s">
        <v>345</v>
      </c>
      <c r="G25" s="30">
        <v>13</v>
      </c>
      <c r="H25" s="71" t="s">
        <v>317</v>
      </c>
    </row>
    <row r="26" spans="1:8" ht="18" customHeight="1" x14ac:dyDescent="0.25">
      <c r="A26" s="23" t="s">
        <v>100</v>
      </c>
      <c r="B26" s="72" t="s">
        <v>325</v>
      </c>
      <c r="C26" s="71">
        <v>19487.171000000013</v>
      </c>
      <c r="D26" s="73">
        <v>45870</v>
      </c>
      <c r="E26" s="74">
        <v>45671</v>
      </c>
      <c r="F26" s="30" t="s">
        <v>268</v>
      </c>
      <c r="G26" s="21">
        <v>15</v>
      </c>
      <c r="H26" s="71" t="s">
        <v>317</v>
      </c>
    </row>
    <row r="27" spans="1:8" ht="18" customHeight="1" x14ac:dyDescent="0.25">
      <c r="A27" s="23" t="s">
        <v>101</v>
      </c>
      <c r="B27" s="72" t="s">
        <v>326</v>
      </c>
      <c r="C27" s="71">
        <v>21435.888100000011</v>
      </c>
      <c r="D27" s="73">
        <v>45901</v>
      </c>
      <c r="E27" s="74">
        <v>45672</v>
      </c>
      <c r="F27" s="30" t="s">
        <v>253</v>
      </c>
      <c r="G27" s="30">
        <v>17</v>
      </c>
      <c r="H27" s="71" t="s">
        <v>317</v>
      </c>
    </row>
    <row r="28" spans="1:8" ht="18" customHeight="1" x14ac:dyDescent="0.25">
      <c r="A28" s="23" t="s">
        <v>102</v>
      </c>
      <c r="B28" s="72" t="s">
        <v>327</v>
      </c>
      <c r="C28" s="71">
        <v>23579.476910000016</v>
      </c>
      <c r="D28" s="73">
        <v>45931</v>
      </c>
      <c r="E28" s="74">
        <v>45673</v>
      </c>
      <c r="F28" s="30" t="s">
        <v>245</v>
      </c>
      <c r="G28" s="21">
        <v>19</v>
      </c>
      <c r="H28" s="71" t="s">
        <v>317</v>
      </c>
    </row>
    <row r="29" spans="1:8" ht="18" customHeight="1" x14ac:dyDescent="0.25">
      <c r="A29" s="23" t="s">
        <v>116</v>
      </c>
      <c r="B29" s="72" t="s">
        <v>328</v>
      </c>
      <c r="C29" s="71">
        <v>25937.424601000017</v>
      </c>
      <c r="D29" s="73">
        <v>45962</v>
      </c>
      <c r="E29" s="74">
        <v>45674</v>
      </c>
      <c r="F29" s="30" t="s">
        <v>344</v>
      </c>
      <c r="G29" s="30">
        <v>21</v>
      </c>
      <c r="H29" s="71" t="s">
        <v>317</v>
      </c>
    </row>
    <row r="30" spans="1:8" ht="18" customHeight="1" x14ac:dyDescent="0.25">
      <c r="A30" s="23" t="s">
        <v>117</v>
      </c>
      <c r="B30" s="72" t="s">
        <v>329</v>
      </c>
      <c r="C30" s="71">
        <v>28531.167061100026</v>
      </c>
      <c r="D30" s="73">
        <v>45992</v>
      </c>
      <c r="E30" s="74">
        <v>45677</v>
      </c>
      <c r="F30" s="30" t="s">
        <v>345</v>
      </c>
      <c r="G30" s="21">
        <v>23</v>
      </c>
      <c r="H30" s="71" t="s">
        <v>317</v>
      </c>
    </row>
    <row r="31" spans="1:8" ht="18" customHeight="1" x14ac:dyDescent="0.25">
      <c r="A31" s="23" t="s">
        <v>118</v>
      </c>
      <c r="B31" s="72" t="s">
        <v>330</v>
      </c>
      <c r="C31" s="71">
        <v>31384.283767210025</v>
      </c>
      <c r="D31" s="73">
        <v>46023</v>
      </c>
      <c r="E31" s="74">
        <v>45678</v>
      </c>
      <c r="F31" s="30" t="s">
        <v>268</v>
      </c>
      <c r="G31" s="30">
        <v>25</v>
      </c>
      <c r="H31" s="71" t="s">
        <v>317</v>
      </c>
    </row>
    <row r="32" spans="1:8" ht="18" customHeight="1" x14ac:dyDescent="0.25">
      <c r="A32" s="23" t="s">
        <v>119</v>
      </c>
      <c r="B32" s="72" t="s">
        <v>331</v>
      </c>
      <c r="C32" s="71">
        <v>34522.712143931029</v>
      </c>
      <c r="D32" s="73">
        <v>46054</v>
      </c>
      <c r="E32" s="74">
        <v>45679</v>
      </c>
      <c r="F32" s="30" t="s">
        <v>253</v>
      </c>
      <c r="G32" s="21">
        <v>27</v>
      </c>
      <c r="H32" s="71" t="s">
        <v>317</v>
      </c>
    </row>
    <row r="33" spans="1:8" ht="18" customHeight="1" x14ac:dyDescent="0.25">
      <c r="A33" s="23" t="s">
        <v>120</v>
      </c>
      <c r="B33" s="72" t="s">
        <v>332</v>
      </c>
      <c r="C33" s="71">
        <v>37974.983358324142</v>
      </c>
      <c r="D33" s="73">
        <v>46082</v>
      </c>
      <c r="E33" s="74">
        <v>45680</v>
      </c>
      <c r="F33" s="30" t="s">
        <v>245</v>
      </c>
      <c r="G33" s="30">
        <v>29</v>
      </c>
      <c r="H33" s="71" t="s">
        <v>317</v>
      </c>
    </row>
    <row r="34" spans="1:8" ht="18" customHeight="1" x14ac:dyDescent="0.25">
      <c r="A34" s="23" t="s">
        <v>121</v>
      </c>
      <c r="B34" s="72" t="s">
        <v>333</v>
      </c>
      <c r="C34" s="71">
        <v>41772.481694156551</v>
      </c>
      <c r="D34" s="73">
        <v>46113</v>
      </c>
      <c r="E34" s="74">
        <v>45681</v>
      </c>
      <c r="F34" s="30" t="s">
        <v>344</v>
      </c>
      <c r="G34" s="21">
        <v>31</v>
      </c>
      <c r="H34" s="71" t="s">
        <v>317</v>
      </c>
    </row>
    <row r="35" spans="1:8" ht="18" customHeight="1" x14ac:dyDescent="0.25">
      <c r="A35" s="23" t="s">
        <v>122</v>
      </c>
      <c r="B35" s="72" t="s">
        <v>334</v>
      </c>
      <c r="C35" s="71">
        <v>45949.729863572211</v>
      </c>
      <c r="D35" s="73">
        <v>46143</v>
      </c>
      <c r="E35" s="74">
        <v>45684</v>
      </c>
      <c r="F35" s="30" t="s">
        <v>345</v>
      </c>
      <c r="G35" s="30">
        <v>33</v>
      </c>
      <c r="H35" s="71" t="s">
        <v>317</v>
      </c>
    </row>
    <row r="36" spans="1:8" ht="18" customHeight="1" x14ac:dyDescent="0.25">
      <c r="A36" s="23" t="s">
        <v>123</v>
      </c>
      <c r="B36" s="72" t="s">
        <v>335</v>
      </c>
      <c r="C36" s="71">
        <v>50544.702849929432</v>
      </c>
      <c r="D36" s="73">
        <v>46174</v>
      </c>
      <c r="E36" s="74">
        <v>45685</v>
      </c>
      <c r="F36" s="30" t="s">
        <v>268</v>
      </c>
      <c r="G36" s="21">
        <v>35</v>
      </c>
      <c r="H36" s="71" t="s">
        <v>317</v>
      </c>
    </row>
    <row r="37" spans="1:8" ht="18" customHeight="1" x14ac:dyDescent="0.25">
      <c r="A37" s="23" t="s">
        <v>124</v>
      </c>
      <c r="B37" s="72" t="s">
        <v>336</v>
      </c>
      <c r="C37" s="71">
        <v>55599.173134922377</v>
      </c>
      <c r="D37" s="73">
        <v>46204</v>
      </c>
      <c r="E37" s="74">
        <v>45686</v>
      </c>
      <c r="F37" s="30" t="s">
        <v>253</v>
      </c>
      <c r="G37" s="30">
        <v>37</v>
      </c>
      <c r="H37" s="71" t="s">
        <v>317</v>
      </c>
    </row>
    <row r="38" spans="1:8" ht="18" customHeight="1" x14ac:dyDescent="0.25">
      <c r="A38" s="23" t="s">
        <v>125</v>
      </c>
      <c r="B38" s="72" t="s">
        <v>337</v>
      </c>
      <c r="C38" s="71">
        <v>61159.09044841463</v>
      </c>
      <c r="D38" s="73">
        <v>46235</v>
      </c>
      <c r="E38" s="74">
        <v>45687</v>
      </c>
      <c r="F38" s="30" t="s">
        <v>245</v>
      </c>
      <c r="G38" s="21">
        <v>39</v>
      </c>
      <c r="H38" s="71" t="s">
        <v>317</v>
      </c>
    </row>
    <row r="39" spans="1:8" ht="18" customHeight="1" x14ac:dyDescent="0.25">
      <c r="A39" s="23" t="s">
        <v>126</v>
      </c>
      <c r="B39" s="72" t="s">
        <v>338</v>
      </c>
      <c r="C39" s="71">
        <v>67274.999493256095</v>
      </c>
      <c r="D39" s="73">
        <v>46266</v>
      </c>
      <c r="E39" s="74">
        <v>45688</v>
      </c>
      <c r="F39" s="30" t="s">
        <v>344</v>
      </c>
      <c r="G39" s="30">
        <v>41</v>
      </c>
      <c r="H39" s="71" t="s">
        <v>317</v>
      </c>
    </row>
    <row r="40" spans="1:8" ht="18" customHeight="1" x14ac:dyDescent="0.25">
      <c r="A40" s="23" t="s">
        <v>127</v>
      </c>
      <c r="B40" s="72" t="s">
        <v>339</v>
      </c>
      <c r="C40" s="71">
        <v>74002.499442581713</v>
      </c>
      <c r="D40" s="73">
        <v>46296</v>
      </c>
      <c r="E40" s="74">
        <v>45691</v>
      </c>
      <c r="F40" s="30" t="s">
        <v>345</v>
      </c>
      <c r="G40" s="21">
        <v>43</v>
      </c>
      <c r="H40" s="71" t="s">
        <v>317</v>
      </c>
    </row>
    <row r="41" spans="1:8" ht="18" customHeight="1" x14ac:dyDescent="0.25">
      <c r="A41" s="23" t="s">
        <v>128</v>
      </c>
      <c r="B41" s="72" t="s">
        <v>340</v>
      </c>
      <c r="C41" s="71">
        <v>81402.749386839889</v>
      </c>
      <c r="D41" s="73">
        <v>46327</v>
      </c>
      <c r="E41" s="74">
        <v>45692</v>
      </c>
      <c r="F41" s="30" t="s">
        <v>268</v>
      </c>
      <c r="G41" s="30">
        <v>45</v>
      </c>
      <c r="H41" s="71" t="s">
        <v>317</v>
      </c>
    </row>
    <row r="42" spans="1:8" ht="18" customHeight="1" x14ac:dyDescent="0.25">
      <c r="A42" s="23" t="s">
        <v>129</v>
      </c>
      <c r="B42" s="72" t="s">
        <v>341</v>
      </c>
      <c r="C42" s="71">
        <v>89543.024325523889</v>
      </c>
      <c r="D42" s="73">
        <v>46357</v>
      </c>
      <c r="E42" s="74">
        <v>45693</v>
      </c>
      <c r="F42" s="30" t="s">
        <v>253</v>
      </c>
      <c r="G42" s="21">
        <v>47</v>
      </c>
      <c r="H42" s="71" t="s">
        <v>317</v>
      </c>
    </row>
    <row r="43" spans="1:8" ht="18" customHeight="1" x14ac:dyDescent="0.25">
      <c r="A43" s="23" t="s">
        <v>130</v>
      </c>
      <c r="B43" s="72" t="s">
        <v>342</v>
      </c>
      <c r="C43" s="71">
        <v>98497.326758076262</v>
      </c>
      <c r="D43" s="73">
        <v>46388</v>
      </c>
      <c r="E43" s="74">
        <v>45694</v>
      </c>
      <c r="F43" s="30" t="s">
        <v>245</v>
      </c>
      <c r="G43" s="30">
        <v>49</v>
      </c>
      <c r="H43" s="71" t="s">
        <v>317</v>
      </c>
    </row>
    <row r="44" spans="1:8" ht="18" customHeight="1" x14ac:dyDescent="0.25">
      <c r="A44" s="23" t="s">
        <v>131</v>
      </c>
      <c r="B44" s="72" t="s">
        <v>343</v>
      </c>
      <c r="C44" s="71">
        <v>108347.05943388391</v>
      </c>
      <c r="D44" s="73">
        <v>46419</v>
      </c>
      <c r="E44" s="74">
        <v>45695</v>
      </c>
      <c r="F44" s="30" t="s">
        <v>344</v>
      </c>
      <c r="G44" s="21">
        <v>51</v>
      </c>
      <c r="H44" s="71" t="s">
        <v>317</v>
      </c>
    </row>
    <row r="45" spans="1:8" ht="15.75" customHeight="1" x14ac:dyDescent="0.25"/>
    <row r="46" spans="1:8" ht="30" customHeight="1" x14ac:dyDescent="0.25">
      <c r="A46" s="52" t="s">
        <v>132</v>
      </c>
      <c r="B46" s="48"/>
      <c r="C46" s="48"/>
      <c r="D46" s="48"/>
      <c r="E46" s="48"/>
      <c r="F46" s="48"/>
      <c r="G46" s="48"/>
      <c r="H46" s="49"/>
    </row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H1"/>
    <mergeCell ref="A3:H3"/>
    <mergeCell ref="A16:H16"/>
    <mergeCell ref="A46:H46"/>
  </mergeCells>
  <phoneticPr fontId="29" type="noConversion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topLeftCell="A7" workbookViewId="0">
      <selection activeCell="E37" sqref="E37"/>
    </sheetView>
  </sheetViews>
  <sheetFormatPr defaultColWidth="14.42578125" defaultRowHeight="15" customHeight="1" x14ac:dyDescent="0.25"/>
  <cols>
    <col min="1" max="1" width="30" customWidth="1"/>
    <col min="2" max="4" width="22" customWidth="1"/>
    <col min="5" max="5" width="30" bestFit="1" customWidth="1"/>
    <col min="6" max="7" width="22" customWidth="1"/>
    <col min="8" max="8" width="14" customWidth="1"/>
    <col min="9" max="26" width="8.7109375" customWidth="1"/>
  </cols>
  <sheetData>
    <row r="1" spans="1:8" ht="36" customHeight="1" x14ac:dyDescent="0.25">
      <c r="A1" s="44" t="s">
        <v>133</v>
      </c>
      <c r="B1" s="45"/>
      <c r="C1" s="45"/>
      <c r="D1" s="45"/>
      <c r="E1" s="45"/>
      <c r="F1" s="45"/>
      <c r="G1" s="45"/>
      <c r="H1" s="46"/>
    </row>
    <row r="3" spans="1:8" ht="24" customHeight="1" x14ac:dyDescent="0.25">
      <c r="A3" s="47" t="s">
        <v>134</v>
      </c>
      <c r="B3" s="48"/>
      <c r="C3" s="48"/>
      <c r="D3" s="48"/>
      <c r="E3" s="48"/>
      <c r="F3" s="48"/>
      <c r="G3" s="48"/>
      <c r="H3" s="49"/>
    </row>
    <row r="4" spans="1:8" ht="30" customHeight="1" x14ac:dyDescent="0.25">
      <c r="A4" s="22" t="s">
        <v>135</v>
      </c>
      <c r="B4" s="22" t="s">
        <v>136</v>
      </c>
      <c r="C4" s="22" t="s">
        <v>137</v>
      </c>
      <c r="D4" s="22" t="s">
        <v>138</v>
      </c>
      <c r="E4" s="22" t="s">
        <v>139</v>
      </c>
      <c r="F4" s="22" t="s">
        <v>140</v>
      </c>
      <c r="G4" s="22"/>
      <c r="H4" s="22"/>
    </row>
    <row r="5" spans="1:8" ht="19.5" customHeight="1" x14ac:dyDescent="0.25">
      <c r="A5" s="15" t="s">
        <v>141</v>
      </c>
      <c r="B5" s="15" t="s">
        <v>142</v>
      </c>
      <c r="C5" s="15" t="s">
        <v>143</v>
      </c>
      <c r="D5" s="15">
        <v>504123456</v>
      </c>
      <c r="E5" s="15" t="s">
        <v>54</v>
      </c>
      <c r="F5" s="25" t="s">
        <v>144</v>
      </c>
      <c r="G5" s="26"/>
      <c r="H5" s="26"/>
    </row>
    <row r="6" spans="1:8" ht="19.5" customHeight="1" x14ac:dyDescent="0.25">
      <c r="A6" s="12" t="s">
        <v>145</v>
      </c>
      <c r="B6" s="12" t="s">
        <v>146</v>
      </c>
      <c r="C6" s="12" t="s">
        <v>147</v>
      </c>
      <c r="D6" s="12">
        <v>552987654</v>
      </c>
      <c r="E6" s="12" t="s">
        <v>148</v>
      </c>
      <c r="F6" s="28" t="s">
        <v>149</v>
      </c>
      <c r="G6" s="29"/>
      <c r="H6" s="29"/>
    </row>
    <row r="7" spans="1:8" ht="19.5" customHeight="1" x14ac:dyDescent="0.25">
      <c r="A7" s="15" t="s">
        <v>150</v>
      </c>
      <c r="B7" s="15" t="s">
        <v>151</v>
      </c>
      <c r="C7" s="15" t="s">
        <v>152</v>
      </c>
      <c r="D7" s="15">
        <v>561234567</v>
      </c>
      <c r="E7" s="15" t="s">
        <v>153</v>
      </c>
      <c r="F7" s="25" t="s">
        <v>154</v>
      </c>
      <c r="G7" s="26"/>
      <c r="H7" s="26"/>
    </row>
    <row r="8" spans="1:8" ht="19.5" customHeight="1" x14ac:dyDescent="0.25">
      <c r="A8" s="12" t="s">
        <v>155</v>
      </c>
      <c r="B8" s="12" t="s">
        <v>156</v>
      </c>
      <c r="C8" s="12" t="s">
        <v>157</v>
      </c>
      <c r="D8" s="12">
        <v>501122334</v>
      </c>
      <c r="E8" s="12" t="s">
        <v>158</v>
      </c>
      <c r="F8" s="28" t="s">
        <v>159</v>
      </c>
      <c r="G8" s="29"/>
      <c r="H8" s="29"/>
    </row>
    <row r="9" spans="1:8" ht="19.5" customHeight="1" x14ac:dyDescent="0.25">
      <c r="A9" s="15" t="s">
        <v>160</v>
      </c>
      <c r="B9" s="15" t="s">
        <v>161</v>
      </c>
      <c r="C9" s="15" t="s">
        <v>162</v>
      </c>
      <c r="D9" s="15">
        <v>558877665</v>
      </c>
      <c r="E9" s="15" t="s">
        <v>163</v>
      </c>
      <c r="F9" s="25" t="s">
        <v>164</v>
      </c>
      <c r="G9" s="26"/>
      <c r="H9" s="26"/>
    </row>
    <row r="10" spans="1:8" ht="19.5" customHeight="1" x14ac:dyDescent="0.25">
      <c r="A10" s="12" t="s">
        <v>165</v>
      </c>
      <c r="B10" s="12" t="s">
        <v>166</v>
      </c>
      <c r="C10" s="12" t="s">
        <v>167</v>
      </c>
      <c r="D10" s="12">
        <v>507654321</v>
      </c>
      <c r="E10" s="12" t="s">
        <v>168</v>
      </c>
      <c r="F10" s="28" t="s">
        <v>169</v>
      </c>
      <c r="G10" s="29"/>
      <c r="H10" s="29"/>
    </row>
    <row r="11" spans="1:8" ht="19.5" customHeight="1" x14ac:dyDescent="0.25">
      <c r="A11" s="15" t="s">
        <v>170</v>
      </c>
      <c r="B11" s="15" t="s">
        <v>171</v>
      </c>
      <c r="C11" s="15" t="s">
        <v>172</v>
      </c>
      <c r="D11" s="15">
        <v>503456789</v>
      </c>
      <c r="E11" s="15" t="s">
        <v>173</v>
      </c>
      <c r="F11" s="25" t="s">
        <v>174</v>
      </c>
      <c r="G11" s="26"/>
      <c r="H11" s="26"/>
    </row>
    <row r="12" spans="1:8" ht="19.5" customHeight="1" x14ac:dyDescent="0.25">
      <c r="A12" s="12" t="s">
        <v>175</v>
      </c>
      <c r="B12" s="12" t="s">
        <v>176</v>
      </c>
      <c r="C12" s="12" t="s">
        <v>177</v>
      </c>
      <c r="D12" s="12">
        <v>504001122</v>
      </c>
      <c r="E12" s="12" t="s">
        <v>178</v>
      </c>
      <c r="F12" s="28" t="s">
        <v>179</v>
      </c>
      <c r="G12" s="29"/>
      <c r="H12" s="29"/>
    </row>
    <row r="13" spans="1:8" ht="12" customHeight="1" x14ac:dyDescent="0.25"/>
    <row r="14" spans="1:8" ht="24" customHeight="1" x14ac:dyDescent="0.25">
      <c r="A14" s="50" t="s">
        <v>180</v>
      </c>
      <c r="B14" s="48"/>
      <c r="C14" s="48"/>
      <c r="D14" s="48"/>
      <c r="E14" s="48"/>
      <c r="F14" s="48"/>
      <c r="G14" s="48"/>
      <c r="H14" s="49"/>
    </row>
    <row r="15" spans="1:8" ht="36" customHeight="1" x14ac:dyDescent="0.25">
      <c r="A15" s="18" t="s">
        <v>181</v>
      </c>
      <c r="B15" s="18" t="s">
        <v>182</v>
      </c>
      <c r="C15" s="18" t="s">
        <v>183</v>
      </c>
      <c r="D15" s="18" t="s">
        <v>184</v>
      </c>
      <c r="E15" s="18" t="s">
        <v>185</v>
      </c>
      <c r="F15" s="18" t="s">
        <v>186</v>
      </c>
      <c r="G15" s="18" t="s">
        <v>187</v>
      </c>
      <c r="H15" s="18" t="s">
        <v>72</v>
      </c>
    </row>
    <row r="16" spans="1:8" ht="51.75" customHeight="1" x14ac:dyDescent="0.25">
      <c r="A16" s="19" t="s">
        <v>188</v>
      </c>
      <c r="B16" s="19" t="s">
        <v>189</v>
      </c>
      <c r="C16" s="19" t="s">
        <v>190</v>
      </c>
      <c r="D16" s="19" t="s">
        <v>191</v>
      </c>
      <c r="E16" s="19" t="s">
        <v>192</v>
      </c>
      <c r="F16" s="19" t="s">
        <v>193</v>
      </c>
      <c r="G16" s="19" t="s">
        <v>194</v>
      </c>
      <c r="H16" s="19"/>
    </row>
    <row r="17" spans="1:8" ht="19.5" customHeight="1" x14ac:dyDescent="0.25">
      <c r="A17" s="31" t="s">
        <v>195</v>
      </c>
      <c r="B17" s="72" t="s">
        <v>161</v>
      </c>
      <c r="C17" s="72" t="s">
        <v>346</v>
      </c>
      <c r="D17" s="31" t="s">
        <v>196</v>
      </c>
      <c r="E17" s="75" t="s">
        <v>347</v>
      </c>
      <c r="F17" s="31">
        <v>20250115</v>
      </c>
      <c r="G17" s="76">
        <v>45672</v>
      </c>
      <c r="H17" s="70" t="s">
        <v>317</v>
      </c>
    </row>
    <row r="18" spans="1:8" ht="19.5" customHeight="1" x14ac:dyDescent="0.25">
      <c r="A18" s="31" t="s">
        <v>197</v>
      </c>
      <c r="B18" s="72" t="s">
        <v>146</v>
      </c>
      <c r="C18" s="72" t="s">
        <v>147</v>
      </c>
      <c r="D18" s="31" t="s">
        <v>198</v>
      </c>
      <c r="E18" s="75" t="s">
        <v>348</v>
      </c>
      <c r="F18" s="31">
        <v>20250322</v>
      </c>
      <c r="G18" s="76">
        <v>45738</v>
      </c>
      <c r="H18" s="70" t="s">
        <v>317</v>
      </c>
    </row>
    <row r="19" spans="1:8" ht="19.5" customHeight="1" x14ac:dyDescent="0.25">
      <c r="A19" s="31" t="s">
        <v>199</v>
      </c>
      <c r="B19" s="72" t="s">
        <v>151</v>
      </c>
      <c r="C19" s="72" t="s">
        <v>152</v>
      </c>
      <c r="D19" s="31" t="s">
        <v>200</v>
      </c>
      <c r="E19" s="75" t="s">
        <v>349</v>
      </c>
      <c r="F19" s="31">
        <v>20250601</v>
      </c>
      <c r="G19" s="76">
        <v>45809</v>
      </c>
      <c r="H19" s="70" t="s">
        <v>317</v>
      </c>
    </row>
    <row r="20" spans="1:8" ht="19.5" customHeight="1" x14ac:dyDescent="0.25">
      <c r="A20" s="31" t="s">
        <v>201</v>
      </c>
      <c r="B20" s="72" t="s">
        <v>156</v>
      </c>
      <c r="C20" s="72" t="s">
        <v>157</v>
      </c>
      <c r="D20" s="31" t="s">
        <v>202</v>
      </c>
      <c r="E20" s="75" t="s">
        <v>350</v>
      </c>
      <c r="F20" s="31">
        <v>20250910</v>
      </c>
      <c r="G20" s="76">
        <v>45910</v>
      </c>
      <c r="H20" s="70" t="s">
        <v>317</v>
      </c>
    </row>
    <row r="21" spans="1:8" ht="19.5" customHeight="1" x14ac:dyDescent="0.25">
      <c r="A21" s="31" t="s">
        <v>203</v>
      </c>
      <c r="B21" s="72" t="s">
        <v>166</v>
      </c>
      <c r="C21" s="72" t="s">
        <v>167</v>
      </c>
      <c r="D21" s="31" t="s">
        <v>204</v>
      </c>
      <c r="E21" s="75" t="s">
        <v>351</v>
      </c>
      <c r="F21" s="31">
        <v>20241231</v>
      </c>
      <c r="G21" s="76">
        <v>45657</v>
      </c>
      <c r="H21" s="70" t="s">
        <v>317</v>
      </c>
    </row>
    <row r="22" spans="1:8" ht="19.5" customHeight="1" x14ac:dyDescent="0.25">
      <c r="A22" s="31" t="s">
        <v>205</v>
      </c>
      <c r="B22" s="72" t="s">
        <v>171</v>
      </c>
      <c r="C22" s="72" t="s">
        <v>172</v>
      </c>
      <c r="D22" s="31" t="s">
        <v>206</v>
      </c>
      <c r="E22" s="75" t="s">
        <v>352</v>
      </c>
      <c r="F22" s="31">
        <v>20250405</v>
      </c>
      <c r="G22" s="76">
        <v>45752</v>
      </c>
      <c r="H22" s="70" t="s">
        <v>317</v>
      </c>
    </row>
    <row r="23" spans="1:8" ht="19.5" customHeight="1" x14ac:dyDescent="0.25">
      <c r="A23" s="31" t="s">
        <v>207</v>
      </c>
      <c r="B23" s="72" t="s">
        <v>176</v>
      </c>
      <c r="C23" s="72" t="s">
        <v>177</v>
      </c>
      <c r="D23" s="31" t="s">
        <v>208</v>
      </c>
      <c r="E23" s="75" t="s">
        <v>353</v>
      </c>
      <c r="F23" s="31">
        <v>20250719</v>
      </c>
      <c r="G23" s="76">
        <v>45857</v>
      </c>
      <c r="H23" s="70" t="s">
        <v>317</v>
      </c>
    </row>
    <row r="24" spans="1:8" ht="19.5" customHeight="1" x14ac:dyDescent="0.25">
      <c r="A24" s="31" t="s">
        <v>209</v>
      </c>
      <c r="B24" s="72" t="s">
        <v>142</v>
      </c>
      <c r="C24" s="72" t="s">
        <v>143</v>
      </c>
      <c r="D24" s="31" t="s">
        <v>210</v>
      </c>
      <c r="E24" s="75" t="s">
        <v>354</v>
      </c>
      <c r="F24" s="31">
        <v>20251205</v>
      </c>
      <c r="G24" s="76">
        <v>45996</v>
      </c>
      <c r="H24" s="70" t="s">
        <v>317</v>
      </c>
    </row>
    <row r="25" spans="1:8" ht="15.75" customHeight="1" x14ac:dyDescent="0.25"/>
    <row r="26" spans="1:8" ht="36" customHeight="1" x14ac:dyDescent="0.25">
      <c r="A26" s="56" t="s">
        <v>211</v>
      </c>
      <c r="B26" s="48"/>
      <c r="C26" s="48"/>
      <c r="D26" s="48"/>
      <c r="E26" s="48"/>
      <c r="F26" s="48"/>
      <c r="G26" s="48"/>
      <c r="H26" s="49"/>
    </row>
    <row r="27" spans="1:8" ht="15.75" customHeight="1" x14ac:dyDescent="0.25"/>
    <row r="28" spans="1:8" ht="15" customHeight="1" x14ac:dyDescent="0.25">
      <c r="A28" s="57" t="s">
        <v>212</v>
      </c>
      <c r="B28" s="48"/>
      <c r="C28" s="48"/>
      <c r="D28" s="48"/>
      <c r="E28" s="48"/>
      <c r="F28" s="48"/>
      <c r="G28" s="48"/>
      <c r="H28" s="49"/>
    </row>
    <row r="29" spans="1:8" ht="21.75" customHeight="1" x14ac:dyDescent="0.25">
      <c r="A29" s="32" t="s">
        <v>213</v>
      </c>
      <c r="B29" s="55" t="s">
        <v>214</v>
      </c>
      <c r="C29" s="48"/>
      <c r="D29" s="48"/>
      <c r="E29" s="48"/>
      <c r="F29" s="48"/>
      <c r="G29" s="49"/>
      <c r="H29" s="33"/>
    </row>
    <row r="30" spans="1:8" ht="21.75" customHeight="1" x14ac:dyDescent="0.25">
      <c r="A30" s="34" t="s">
        <v>215</v>
      </c>
      <c r="B30" s="55" t="s">
        <v>216</v>
      </c>
      <c r="C30" s="48"/>
      <c r="D30" s="48"/>
      <c r="E30" s="48"/>
      <c r="F30" s="48"/>
      <c r="G30" s="49"/>
      <c r="H30" s="33"/>
    </row>
    <row r="31" spans="1:8" ht="21.75" customHeight="1" x14ac:dyDescent="0.25">
      <c r="A31" s="32" t="s">
        <v>217</v>
      </c>
      <c r="B31" s="55" t="s">
        <v>218</v>
      </c>
      <c r="C31" s="48"/>
      <c r="D31" s="48"/>
      <c r="E31" s="48"/>
      <c r="F31" s="48"/>
      <c r="G31" s="49"/>
      <c r="H31" s="33"/>
    </row>
    <row r="32" spans="1:8" ht="21.75" customHeight="1" x14ac:dyDescent="0.25">
      <c r="A32" s="34" t="s">
        <v>219</v>
      </c>
      <c r="B32" s="55" t="s">
        <v>220</v>
      </c>
      <c r="C32" s="48"/>
      <c r="D32" s="48"/>
      <c r="E32" s="48"/>
      <c r="F32" s="48"/>
      <c r="G32" s="49"/>
      <c r="H32" s="33"/>
    </row>
    <row r="33" spans="1:8" ht="21.75" customHeight="1" x14ac:dyDescent="0.25">
      <c r="A33" s="32" t="s">
        <v>221</v>
      </c>
      <c r="B33" s="55" t="s">
        <v>222</v>
      </c>
      <c r="C33" s="48"/>
      <c r="D33" s="48"/>
      <c r="E33" s="48"/>
      <c r="F33" s="48"/>
      <c r="G33" s="49"/>
      <c r="H33" s="33"/>
    </row>
    <row r="34" spans="1:8" ht="21.75" customHeight="1" x14ac:dyDescent="0.25">
      <c r="A34" s="34" t="s">
        <v>223</v>
      </c>
      <c r="B34" s="55" t="s">
        <v>224</v>
      </c>
      <c r="C34" s="48"/>
      <c r="D34" s="48"/>
      <c r="E34" s="48"/>
      <c r="F34" s="48"/>
      <c r="G34" s="49"/>
      <c r="H34" s="33"/>
    </row>
    <row r="35" spans="1:8" ht="21.75" customHeight="1" x14ac:dyDescent="0.25">
      <c r="A35" s="32" t="s">
        <v>225</v>
      </c>
      <c r="B35" s="55" t="s">
        <v>226</v>
      </c>
      <c r="C35" s="48"/>
      <c r="D35" s="48"/>
      <c r="E35" s="48"/>
      <c r="F35" s="48"/>
      <c r="G35" s="49"/>
      <c r="H35" s="33"/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31:G31"/>
    <mergeCell ref="B32:G32"/>
    <mergeCell ref="B33:G33"/>
    <mergeCell ref="B34:G34"/>
    <mergeCell ref="B35:G35"/>
    <mergeCell ref="B29:G29"/>
    <mergeCell ref="B30:G30"/>
    <mergeCell ref="A1:H1"/>
    <mergeCell ref="A3:H3"/>
    <mergeCell ref="A14:H14"/>
    <mergeCell ref="A26:H26"/>
    <mergeCell ref="A28:H28"/>
  </mergeCells>
  <hyperlinks>
    <hyperlink ref="E17" r:id="rId1" xr:uid="{B897621B-E5B6-4F76-8DF5-FCEC8AA4E1B3}"/>
  </hyperlink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showGridLines="0" tabSelected="1" workbookViewId="0">
      <selection activeCell="H19" sqref="H19"/>
    </sheetView>
  </sheetViews>
  <sheetFormatPr defaultColWidth="14.42578125" defaultRowHeight="15" customHeight="1" x14ac:dyDescent="0.25"/>
  <cols>
    <col min="1" max="1" width="22" customWidth="1"/>
    <col min="2" max="5" width="18" customWidth="1"/>
    <col min="6" max="6" width="22" customWidth="1"/>
    <col min="7" max="7" width="16" customWidth="1"/>
    <col min="8" max="8" width="14" customWidth="1"/>
    <col min="9" max="26" width="8.7109375" customWidth="1"/>
  </cols>
  <sheetData>
    <row r="1" spans="1:8" ht="36" customHeight="1" x14ac:dyDescent="0.25">
      <c r="A1" s="44" t="s">
        <v>227</v>
      </c>
      <c r="B1" s="45"/>
      <c r="C1" s="45"/>
      <c r="D1" s="45"/>
      <c r="E1" s="45"/>
      <c r="F1" s="45"/>
      <c r="G1" s="45"/>
      <c r="H1" s="46"/>
    </row>
    <row r="3" spans="1:8" ht="24" customHeight="1" x14ac:dyDescent="0.25">
      <c r="A3" s="47" t="s">
        <v>228</v>
      </c>
      <c r="B3" s="48"/>
      <c r="C3" s="48"/>
      <c r="D3" s="48"/>
      <c r="E3" s="48"/>
      <c r="F3" s="48"/>
      <c r="G3" s="49"/>
      <c r="H3" s="35" t="s">
        <v>229</v>
      </c>
    </row>
    <row r="4" spans="1:8" ht="30" customHeight="1" x14ac:dyDescent="0.25">
      <c r="A4" s="22" t="s">
        <v>230</v>
      </c>
      <c r="B4" s="22" t="s">
        <v>231</v>
      </c>
      <c r="C4" s="22" t="s">
        <v>232</v>
      </c>
      <c r="D4" s="22" t="s">
        <v>233</v>
      </c>
      <c r="E4" s="22" t="s">
        <v>234</v>
      </c>
      <c r="F4" s="22" t="s">
        <v>235</v>
      </c>
      <c r="G4" s="22" t="s">
        <v>236</v>
      </c>
      <c r="H4" s="31" t="s">
        <v>237</v>
      </c>
    </row>
    <row r="5" spans="1:8" ht="24" customHeight="1" x14ac:dyDescent="0.25">
      <c r="A5" s="11" t="s">
        <v>238</v>
      </c>
      <c r="B5" s="12" t="s">
        <v>239</v>
      </c>
      <c r="C5" s="12" t="s">
        <v>240</v>
      </c>
      <c r="D5" s="11" t="s">
        <v>241</v>
      </c>
      <c r="E5" s="11" t="s">
        <v>242</v>
      </c>
      <c r="F5" s="11" t="s">
        <v>243</v>
      </c>
      <c r="G5" s="13" t="s">
        <v>244</v>
      </c>
      <c r="H5" s="31" t="s">
        <v>245</v>
      </c>
    </row>
    <row r="6" spans="1:8" ht="24" customHeight="1" x14ac:dyDescent="0.25">
      <c r="A6" s="14" t="s">
        <v>246</v>
      </c>
      <c r="B6" s="15" t="s">
        <v>247</v>
      </c>
      <c r="C6" s="15" t="s">
        <v>248</v>
      </c>
      <c r="D6" s="14" t="s">
        <v>249</v>
      </c>
      <c r="E6" s="14" t="s">
        <v>250</v>
      </c>
      <c r="F6" s="14" t="s">
        <v>251</v>
      </c>
      <c r="G6" s="16" t="s">
        <v>252</v>
      </c>
      <c r="H6" s="31" t="s">
        <v>253</v>
      </c>
    </row>
    <row r="7" spans="1:8" ht="24" customHeight="1" x14ac:dyDescent="0.25">
      <c r="A7" s="11" t="s">
        <v>254</v>
      </c>
      <c r="B7" s="12" t="s">
        <v>255</v>
      </c>
      <c r="C7" s="12" t="s">
        <v>256</v>
      </c>
      <c r="D7" s="11" t="s">
        <v>257</v>
      </c>
      <c r="E7" s="11" t="s">
        <v>258</v>
      </c>
      <c r="F7" s="11" t="s">
        <v>259</v>
      </c>
      <c r="G7" s="13" t="s">
        <v>260</v>
      </c>
      <c r="H7" s="31" t="s">
        <v>261</v>
      </c>
    </row>
    <row r="8" spans="1:8" ht="24" customHeight="1" x14ac:dyDescent="0.25">
      <c r="A8" s="14" t="s">
        <v>262</v>
      </c>
      <c r="B8" s="15" t="s">
        <v>263</v>
      </c>
      <c r="C8" s="15" t="s">
        <v>264</v>
      </c>
      <c r="D8" s="14" t="b">
        <f>LEN(B8)=10</f>
        <v>0</v>
      </c>
      <c r="E8" s="14" t="s">
        <v>265</v>
      </c>
      <c r="F8" s="14" t="s">
        <v>266</v>
      </c>
      <c r="G8" s="16" t="s">
        <v>267</v>
      </c>
      <c r="H8" s="31" t="s">
        <v>268</v>
      </c>
    </row>
    <row r="9" spans="1:8" ht="24" customHeight="1" x14ac:dyDescent="0.25">
      <c r="A9" s="11" t="s">
        <v>269</v>
      </c>
      <c r="B9" s="12" t="s">
        <v>270</v>
      </c>
      <c r="C9" s="12" t="s">
        <v>271</v>
      </c>
      <c r="D9" s="11" t="s">
        <v>272</v>
      </c>
      <c r="E9" s="11" t="s">
        <v>273</v>
      </c>
      <c r="F9" s="11" t="s">
        <v>274</v>
      </c>
      <c r="G9" s="13" t="s">
        <v>275</v>
      </c>
    </row>
    <row r="10" spans="1:8" ht="12" customHeight="1" x14ac:dyDescent="0.25"/>
    <row r="11" spans="1:8" ht="24" customHeight="1" x14ac:dyDescent="0.25">
      <c r="A11" s="50" t="s">
        <v>276</v>
      </c>
      <c r="B11" s="48"/>
      <c r="C11" s="48"/>
      <c r="D11" s="48"/>
      <c r="E11" s="48"/>
      <c r="F11" s="48"/>
      <c r="G11" s="48"/>
      <c r="H11" s="49"/>
    </row>
    <row r="12" spans="1:8" ht="36" customHeight="1" x14ac:dyDescent="0.25">
      <c r="A12" s="18" t="s">
        <v>277</v>
      </c>
      <c r="B12" s="18" t="s">
        <v>278</v>
      </c>
      <c r="C12" s="18" t="s">
        <v>279</v>
      </c>
      <c r="D12" s="18" t="s">
        <v>280</v>
      </c>
      <c r="E12" s="18" t="s">
        <v>281</v>
      </c>
      <c r="F12" s="18" t="s">
        <v>282</v>
      </c>
      <c r="G12" s="18" t="s">
        <v>283</v>
      </c>
      <c r="H12" s="18" t="s">
        <v>72</v>
      </c>
    </row>
    <row r="13" spans="1:8" ht="54.75" customHeight="1" x14ac:dyDescent="0.25">
      <c r="A13" s="19" t="s">
        <v>284</v>
      </c>
      <c r="B13" s="19" t="s">
        <v>285</v>
      </c>
      <c r="C13" s="19" t="s">
        <v>286</v>
      </c>
      <c r="D13" s="19" t="s">
        <v>287</v>
      </c>
      <c r="E13" s="19" t="s">
        <v>288</v>
      </c>
      <c r="F13" s="19" t="s">
        <v>289</v>
      </c>
      <c r="G13" s="19" t="s">
        <v>290</v>
      </c>
      <c r="H13" s="19"/>
    </row>
    <row r="14" spans="1:8" ht="21.75" customHeight="1" x14ac:dyDescent="0.25">
      <c r="A14" s="9" t="s">
        <v>291</v>
      </c>
      <c r="B14" s="9">
        <v>28</v>
      </c>
      <c r="C14" s="9" t="s">
        <v>245</v>
      </c>
      <c r="D14" s="36">
        <v>44635</v>
      </c>
      <c r="E14" s="9" t="s">
        <v>292</v>
      </c>
      <c r="F14" s="9">
        <v>4.5</v>
      </c>
      <c r="G14" s="79" t="s">
        <v>293</v>
      </c>
    </row>
    <row r="15" spans="1:8" ht="21.75" customHeight="1" x14ac:dyDescent="0.25">
      <c r="A15" s="38" t="s">
        <v>294</v>
      </c>
      <c r="B15" s="39">
        <v>200</v>
      </c>
      <c r="C15" s="39" t="s">
        <v>295</v>
      </c>
      <c r="D15" s="40">
        <v>43101</v>
      </c>
      <c r="E15" s="39" t="s">
        <v>296</v>
      </c>
      <c r="F15" s="39">
        <v>6.5</v>
      </c>
      <c r="G15" s="78" t="s">
        <v>297</v>
      </c>
    </row>
    <row r="16" spans="1:8" ht="21.75" customHeight="1" x14ac:dyDescent="0.25">
      <c r="A16" s="9" t="s">
        <v>298</v>
      </c>
      <c r="B16" s="9">
        <v>35</v>
      </c>
      <c r="C16" s="9" t="s">
        <v>245</v>
      </c>
      <c r="D16" s="36">
        <v>44367</v>
      </c>
      <c r="E16" s="9" t="s">
        <v>299</v>
      </c>
      <c r="F16" s="9">
        <v>3.8</v>
      </c>
      <c r="G16" s="37" t="s">
        <v>300</v>
      </c>
    </row>
    <row r="17" spans="1:8" ht="21.75" customHeight="1" x14ac:dyDescent="0.25">
      <c r="A17" s="8" t="s">
        <v>301</v>
      </c>
      <c r="B17" s="8">
        <v>19</v>
      </c>
      <c r="C17" s="8" t="s">
        <v>253</v>
      </c>
      <c r="D17" s="41">
        <v>45170</v>
      </c>
      <c r="E17" s="8" t="s">
        <v>302</v>
      </c>
      <c r="F17" s="8">
        <v>4.2</v>
      </c>
      <c r="G17" s="6" t="s">
        <v>303</v>
      </c>
    </row>
    <row r="18" spans="1:8" ht="21.75" customHeight="1" x14ac:dyDescent="0.25">
      <c r="A18" s="9" t="s">
        <v>304</v>
      </c>
      <c r="B18" s="9">
        <v>45</v>
      </c>
      <c r="C18" s="9" t="s">
        <v>261</v>
      </c>
      <c r="D18" s="36">
        <v>43835</v>
      </c>
      <c r="E18" s="9" t="s">
        <v>305</v>
      </c>
      <c r="F18" s="9">
        <v>2.9</v>
      </c>
      <c r="G18" s="37" t="s">
        <v>306</v>
      </c>
    </row>
    <row r="19" spans="1:8" ht="21.75" customHeight="1" x14ac:dyDescent="0.25">
      <c r="A19" s="38" t="s">
        <v>307</v>
      </c>
      <c r="B19" s="39">
        <v>5</v>
      </c>
      <c r="C19" s="77" t="s">
        <v>268</v>
      </c>
      <c r="D19" s="40">
        <v>42350</v>
      </c>
      <c r="E19" s="39" t="s">
        <v>308</v>
      </c>
      <c r="F19" s="39">
        <v>8</v>
      </c>
      <c r="G19" s="78" t="s">
        <v>297</v>
      </c>
    </row>
    <row r="20" spans="1:8" ht="21.75" customHeight="1" x14ac:dyDescent="0.25">
      <c r="A20" s="9" t="s">
        <v>309</v>
      </c>
      <c r="B20" s="9">
        <v>30</v>
      </c>
      <c r="C20" s="9" t="s">
        <v>237</v>
      </c>
      <c r="D20" s="36">
        <v>44774</v>
      </c>
      <c r="E20" s="9" t="s">
        <v>310</v>
      </c>
      <c r="F20" s="9">
        <v>5</v>
      </c>
      <c r="G20" s="37" t="s">
        <v>311</v>
      </c>
    </row>
    <row r="21" spans="1:8" ht="21.75" customHeight="1" x14ac:dyDescent="0.25">
      <c r="A21" s="8" t="s">
        <v>312</v>
      </c>
      <c r="B21" s="8">
        <v>55</v>
      </c>
      <c r="C21" s="8" t="s">
        <v>253</v>
      </c>
      <c r="D21" s="41">
        <v>43799</v>
      </c>
      <c r="E21" s="8" t="s">
        <v>313</v>
      </c>
      <c r="F21" s="8">
        <v>4</v>
      </c>
      <c r="G21" s="6" t="s">
        <v>314</v>
      </c>
    </row>
    <row r="22" spans="1:8" ht="15.75" customHeight="1" x14ac:dyDescent="0.25">
      <c r="B22" s="42"/>
      <c r="C22" s="42"/>
      <c r="D22" s="42"/>
      <c r="E22" s="42"/>
      <c r="F22" s="42"/>
    </row>
    <row r="23" spans="1:8" ht="36" customHeight="1" x14ac:dyDescent="0.25">
      <c r="A23" s="51" t="s">
        <v>315</v>
      </c>
      <c r="B23" s="48"/>
      <c r="C23" s="48"/>
      <c r="D23" s="48"/>
      <c r="E23" s="48"/>
      <c r="F23" s="48"/>
      <c r="G23" s="48"/>
      <c r="H23" s="49"/>
    </row>
    <row r="24" spans="1:8" ht="15.75" customHeight="1" x14ac:dyDescent="0.25"/>
    <row r="25" spans="1:8" ht="36" customHeight="1" x14ac:dyDescent="0.25">
      <c r="A25" s="52" t="s">
        <v>316</v>
      </c>
      <c r="B25" s="48"/>
      <c r="C25" s="48"/>
      <c r="D25" s="48"/>
      <c r="E25" s="48"/>
      <c r="F25" s="48"/>
      <c r="G25" s="48"/>
      <c r="H25" s="49"/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H1"/>
    <mergeCell ref="A3:G3"/>
    <mergeCell ref="A11:H11"/>
    <mergeCell ref="A23:H23"/>
    <mergeCell ref="A25:H25"/>
  </mergeCells>
  <dataValidations count="11">
    <dataValidation type="decimal" allowBlank="1" showInputMessage="1" showErrorMessage="1" prompt="Score (1-100) - Please enter a score between 1 and 100." sqref="B5" xr:uid="{00000000-0002-0000-0400-000000000000}">
      <formula1>1</formula1>
      <formula2>100</formula2>
    </dataValidation>
    <dataValidation type="decimal" allowBlank="1" showInputMessage="1" prompt="Performance Rating - Enter rating between 0.0 and 5.0." sqref="F14:F22" xr:uid="{00000000-0002-0000-0400-000001000000}">
      <formula1>0</formula1>
      <formula2>5</formula2>
    </dataValidation>
    <dataValidation type="custom" allowBlank="1" showInputMessage="1" showErrorMessage="1" prompt="Employee ID - Employee ID must be exactly 8 characters." sqref="E22 E14:E21" xr:uid="{00000000-0002-0000-0400-000002000000}">
      <formula1>LEN(E14)=8</formula1>
    </dataValidation>
    <dataValidation type="decimal" allowBlank="1" showInputMessage="1" showErrorMessage="1" prompt="Employee Age - Enter employee age between 18 and 65." sqref="B22" xr:uid="{00000000-0002-0000-0400-000003000000}">
      <formula1>18</formula1>
      <formula2>65</formula2>
    </dataValidation>
    <dataValidation type="date" operator="greaterThanOrEqual" allowBlank="1" showInputMessage="1" prompt="Start Date - Enter a date on or after 01/01/2020." sqref="D22 D14:D21" xr:uid="{00000000-0002-0000-0400-000004000000}">
      <formula1>DATE(2020,1,1)</formula1>
    </dataValidation>
    <dataValidation type="custom" allowBlank="1" showInputMessage="1" showErrorMessage="1" prompt="10-Digit Number - Enter exactly 10 digits." sqref="B8" xr:uid="{00000000-0002-0000-0400-000005000000}">
      <formula1>LEN(B8)=10</formula1>
    </dataValidation>
    <dataValidation type="date" allowBlank="1" showInputMessage="1" showErrorMessage="1" prompt="2025 Dates Only - Enter a date within 2025." sqref="B7" xr:uid="{00000000-0002-0000-0400-000006000000}">
      <formula1>DATE(2025,1,1)</formula1>
      <formula2>DATE(2025,12,31)</formula2>
    </dataValidation>
    <dataValidation type="list" allowBlank="1" showInputMessage="1" showErrorMessage="1" prompt="Select Department - Choose a department from the list." sqref="B6" xr:uid="{00000000-0002-0000-0400-000007000000}">
      <formula1>"Sales,Marketing,Finance,Operations,HR"</formula1>
    </dataValidation>
    <dataValidation type="list" allowBlank="1" showInputMessage="1" showErrorMessage="1" prompt="Select Department - Choose from the dropdown list." sqref="C22" xr:uid="{00000000-0002-0000-0400-000008000000}">
      <formula1>$H$4:$H$8</formula1>
    </dataValidation>
    <dataValidation type="whole" allowBlank="1" showInputMessage="1" showErrorMessage="1" errorTitle="Enter the age correctly" error="Please enter the age between 18 to 65" promptTitle="Employee age" prompt="Employee Age - Enter employee age between 18 and 65." sqref="B14:B21" xr:uid="{476E88B7-9A7C-462B-A7FA-C024A8A9B287}">
      <formula1>18</formula1>
      <formula2>65</formula2>
    </dataValidation>
    <dataValidation type="list" allowBlank="1" showInputMessage="1" showErrorMessage="1" promptTitle="Choose the Department" prompt="Select Department - Choose from the dropdown list." sqref="C14:C21" xr:uid="{2F0D36A1-9C49-4E79-A525-D6D725117231}">
      <formula1>$H$4:$H$8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Overview &amp; Guide</vt:lpstr>
      <vt:lpstr>1 ─ Custom Formats</vt:lpstr>
      <vt:lpstr>2 ─ Fill Series</vt:lpstr>
      <vt:lpstr>3 ─ Flash Fill</vt:lpstr>
      <vt:lpstr>4 ─ 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2026-08-20T16:00:57Z</dcterms:created>
  <dcterms:modified xsi:type="dcterms:W3CDTF">2026-08-20T16:00:57Z</dcterms:modified>
</cp:coreProperties>
</file>