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13_ncr:20001_{FC722EC9-4836-4A1E-9AA1-4E2EDE396706}" xr6:coauthVersionLast="47" xr6:coauthVersionMax="47" xr10:uidLastSave="{00000000-0000-0000-0000-000000000000}"/>
  <bookViews>
    <workbookView xWindow="-120" yWindow="-120" windowWidth="20730" windowHeight="11040" tabRatio="500" firstSheet="6" activeTab="6" xr2:uid="{00000000-000D-0000-FFFF-FFFF00000000}"/>
  </bookViews>
  <sheets>
    <sheet name="Instructions" sheetId="1" r:id="rId1"/>
    <sheet name="PT_Training" sheetId="9" r:id="rId2"/>
    <sheet name="PT_Monthly" sheetId="10" r:id="rId3"/>
    <sheet name="Employee_Training_Data" sheetId="2" r:id="rId4"/>
    <sheet name="Ex1_KPI" sheetId="3" r:id="rId5"/>
    <sheet name="Ex2_Slicers" sheetId="4" r:id="rId6"/>
    <sheet name="Ex3_Dashboard" sheetId="5" r:id="rId7"/>
    <sheet name="Training_Dashboard" sheetId="11" r:id="rId8"/>
    <sheet name="Answer_Key" sheetId="6" r:id="rId9"/>
  </sheets>
  <definedNames>
    <definedName name="Slicer_Department">#N/A</definedName>
    <definedName name="Slicer_Month1">#N/A</definedName>
  </definedNames>
  <calcPr calcId="191029" iterateDelta="1E-4"/>
  <pivotCaches>
    <pivotCache cacheId="12" r:id="rId10"/>
  </pivotCaches>
  <fileRecoveryPr repairLoad="1"/>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1" l="1"/>
  <c r="G3" i="11"/>
  <c r="A3" i="11"/>
  <c r="G8" i="2"/>
  <c r="H8" i="2" s="1"/>
  <c r="G9" i="2"/>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H51" i="2" s="1"/>
  <c r="G52" i="2"/>
  <c r="H52" i="2" s="1"/>
  <c r="G53" i="2"/>
  <c r="H53" i="2" s="1"/>
  <c r="G54" i="2"/>
  <c r="H54" i="2" s="1"/>
  <c r="G55" i="2"/>
  <c r="H55" i="2" s="1"/>
  <c r="G56" i="2"/>
  <c r="H56" i="2" s="1"/>
  <c r="G57" i="2"/>
  <c r="H57" i="2" s="1"/>
  <c r="G58" i="2"/>
  <c r="H58" i="2" s="1"/>
  <c r="G59" i="2"/>
  <c r="H59" i="2" s="1"/>
  <c r="G60" i="2"/>
  <c r="H60" i="2" s="1"/>
  <c r="G61" i="2"/>
  <c r="H61" i="2" s="1"/>
  <c r="G62" i="2"/>
  <c r="H62" i="2" s="1"/>
  <c r="G63" i="2"/>
  <c r="H63" i="2" s="1"/>
  <c r="G64" i="2"/>
  <c r="H64" i="2" s="1"/>
  <c r="G65" i="2"/>
  <c r="H65" i="2" s="1"/>
  <c r="G66" i="2"/>
  <c r="H66" i="2" s="1"/>
  <c r="G67" i="2"/>
  <c r="H67" i="2" s="1"/>
  <c r="G68" i="2"/>
  <c r="H68" i="2" s="1"/>
  <c r="G69" i="2"/>
  <c r="H69" i="2" s="1"/>
  <c r="G70" i="2"/>
  <c r="H70" i="2" s="1"/>
  <c r="G71" i="2"/>
  <c r="H71" i="2" s="1"/>
  <c r="G72" i="2"/>
  <c r="H72" i="2" s="1"/>
  <c r="G73" i="2"/>
  <c r="H73" i="2" s="1"/>
  <c r="G74" i="2"/>
  <c r="H74" i="2" s="1"/>
  <c r="G75" i="2"/>
  <c r="H75" i="2" s="1"/>
  <c r="G76" i="2"/>
  <c r="H76" i="2" s="1"/>
  <c r="G77" i="2"/>
  <c r="H77" i="2" s="1"/>
  <c r="G78" i="2"/>
  <c r="H78" i="2" s="1"/>
  <c r="G79" i="2"/>
  <c r="H79" i="2" s="1"/>
  <c r="G80" i="2"/>
  <c r="H80" i="2" s="1"/>
  <c r="G81" i="2"/>
  <c r="H81" i="2" s="1"/>
  <c r="G82" i="2"/>
  <c r="H82" i="2" s="1"/>
  <c r="G83" i="2"/>
  <c r="H83" i="2" s="1"/>
  <c r="G84" i="2"/>
  <c r="H84" i="2" s="1"/>
  <c r="G85" i="2"/>
  <c r="H85" i="2" s="1"/>
  <c r="G86" i="2"/>
  <c r="H86" i="2" s="1"/>
  <c r="G87" i="2"/>
  <c r="H87" i="2" s="1"/>
  <c r="G88" i="2"/>
  <c r="H88" i="2" s="1"/>
  <c r="G89" i="2"/>
  <c r="H89" i="2" s="1"/>
  <c r="G90" i="2"/>
  <c r="H90" i="2" s="1"/>
  <c r="G91" i="2"/>
  <c r="H91" i="2" s="1"/>
  <c r="G92" i="2"/>
  <c r="H92" i="2" s="1"/>
  <c r="G93" i="2"/>
  <c r="H93" i="2" s="1"/>
  <c r="G94" i="2"/>
  <c r="H94" i="2" s="1"/>
  <c r="G95" i="2"/>
  <c r="H95" i="2" s="1"/>
  <c r="G96" i="2"/>
  <c r="H96" i="2" s="1"/>
  <c r="G97" i="2"/>
  <c r="H97" i="2" s="1"/>
  <c r="G98" i="2"/>
  <c r="H98" i="2" s="1"/>
  <c r="G99" i="2"/>
  <c r="H99" i="2" s="1"/>
  <c r="G100" i="2"/>
  <c r="H100" i="2" s="1"/>
  <c r="G101" i="2"/>
  <c r="H101" i="2" s="1"/>
  <c r="G102" i="2"/>
  <c r="H102" i="2" s="1"/>
  <c r="G103" i="2"/>
  <c r="H103" i="2" s="1"/>
  <c r="G104" i="2"/>
  <c r="H104" i="2" s="1"/>
  <c r="G105" i="2"/>
  <c r="H105" i="2" s="1"/>
  <c r="G106" i="2"/>
  <c r="H106" i="2" s="1"/>
  <c r="G107" i="2"/>
  <c r="H107" i="2" s="1"/>
  <c r="G108" i="2"/>
  <c r="H108" i="2" s="1"/>
  <c r="G109" i="2"/>
  <c r="H109" i="2" s="1"/>
  <c r="G110" i="2"/>
  <c r="H110" i="2" s="1"/>
  <c r="G111" i="2"/>
  <c r="H111" i="2" s="1"/>
  <c r="G112" i="2"/>
  <c r="H112" i="2" s="1"/>
  <c r="G113" i="2"/>
  <c r="H113" i="2" s="1"/>
  <c r="G114" i="2"/>
  <c r="H114" i="2" s="1"/>
  <c r="G115" i="2"/>
  <c r="H115" i="2" s="1"/>
  <c r="G116" i="2"/>
  <c r="H116" i="2" s="1"/>
  <c r="G117" i="2"/>
  <c r="H117" i="2" s="1"/>
  <c r="G118" i="2"/>
  <c r="H118" i="2" s="1"/>
  <c r="G119" i="2"/>
  <c r="H119" i="2" s="1"/>
  <c r="G120" i="2"/>
  <c r="H120" i="2" s="1"/>
  <c r="G121" i="2"/>
  <c r="H121" i="2" s="1"/>
  <c r="G122" i="2"/>
  <c r="H122" i="2" s="1"/>
  <c r="G123" i="2"/>
  <c r="H123" i="2" s="1"/>
  <c r="G124" i="2"/>
  <c r="H124" i="2" s="1"/>
  <c r="G125" i="2"/>
  <c r="H125" i="2" s="1"/>
  <c r="G7" i="2"/>
  <c r="H7" i="2" s="1"/>
  <c r="B130" i="2"/>
  <c r="B137" i="2" l="1"/>
  <c r="H9" i="2"/>
  <c r="B132" i="2"/>
  <c r="B131" i="2"/>
  <c r="B133" i="2"/>
  <c r="B136" i="2"/>
  <c r="B135" i="2"/>
  <c r="B134" i="2"/>
  <c r="J14" i="2"/>
</calcChain>
</file>

<file path=xl/sharedStrings.xml><?xml version="1.0" encoding="utf-8"?>
<sst xmlns="http://schemas.openxmlformats.org/spreadsheetml/2006/main" count="969" uniqueCount="535">
  <si>
    <t>KPI_Slicers_Dashboard_Practice.xlsx  |  Employee Training Data</t>
  </si>
  <si>
    <t>Anudip Foundation — Practice file for KPI, Slicers &amp; Dashboard Design (120-min session)</t>
  </si>
  <si>
    <t>📁  FILE OVERVIEW</t>
  </si>
  <si>
    <t>Data Sheet</t>
  </si>
  <si>
    <t>Employee_Training_Data — 120 rows (E001–E120). The source for all exercises.</t>
  </si>
  <si>
    <t>Exercise 1</t>
  </si>
  <si>
    <t>Ex1_KPI — Build Achievement % formula, Status IF formula, and Conditional Formatting traffic light.</t>
  </si>
  <si>
    <t>Exercise 2</t>
  </si>
  <si>
    <t>Ex2_Slicers — Create PivotTable, add Slicers, connect via Report Connections.</t>
  </si>
  <si>
    <t>Exercise 3</t>
  </si>
  <si>
    <t>Ex3_Dashboard — Build a complete Training Dashboard with KPI boxes, charts, and slicers.</t>
  </si>
  <si>
    <t>Answer Key</t>
  </si>
  <si>
    <t>Answer_Key — Check your formulas and expected values here after completing each exercise.</t>
  </si>
  <si>
    <t>Data Details</t>
  </si>
  <si>
    <t>5 Departments | 4 Training Types | 6 Months (Jan–Jun) | 120 records total</t>
  </si>
  <si>
    <t>Practice Password</t>
  </si>
  <si>
    <t>No password needed. All sheets are open. Work in order: Ex1 → Ex2 → Ex3.</t>
  </si>
  <si>
    <t>🎨  COLOUR LEGEND</t>
  </si>
  <si>
    <t>Blue header row</t>
  </si>
  <si>
    <t>Column header — do not edit</t>
  </si>
  <si>
    <t>White / grey rows</t>
  </si>
  <si>
    <t>Source data — do not edit</t>
  </si>
  <si>
    <t>Yellow cell</t>
  </si>
  <si>
    <t>Task instruction — read and follow</t>
  </si>
  <si>
    <t>Green cell</t>
  </si>
  <si>
    <t>Your answer area — type your formula here</t>
  </si>
  <si>
    <t>Teal / code cell</t>
  </si>
  <si>
    <t>Formula to type exactly as shown</t>
  </si>
  <si>
    <t>Green data fill</t>
  </si>
  <si>
    <t>KPI: On Track (Achievement ≥ 100%)</t>
  </si>
  <si>
    <t>Yellow data fill</t>
  </si>
  <si>
    <t>KPI: Watch (Achievement ≥ 80% but &lt; 100%)</t>
  </si>
  <si>
    <t>Red data fill</t>
  </si>
  <si>
    <t>KPI: Below Target (Achievement &lt; 80%)</t>
  </si>
  <si>
    <t>Red note row</t>
  </si>
  <si>
    <t>Caution or important warning</t>
  </si>
  <si>
    <t>START HERE → Go to Employee_Training_Data sheet first. Review the data structure. Then open Ex1_KPI and follow the instructions step by step.</t>
  </si>
  <si>
    <t>Employee Training Data  |  Source Sheet — 120 Records (E001–E120)</t>
  </si>
  <si>
    <t>DO NOT edit columns A–F. Columns G (Achievement %) and H (Status) are blank — you build them in Exercise 1.</t>
  </si>
  <si>
    <t>SOURCE DATA — 5 Departments × 4 Training Types × 6 Months = 120 rows</t>
  </si>
  <si>
    <t>Exercise 1 Task: Add your formulas in column G (Achievement %) and column H (Status). Then apply Conditional Formatting traffic-light colours to column H.</t>
  </si>
  <si>
    <t>Employee ID</t>
  </si>
  <si>
    <t>Department</t>
  </si>
  <si>
    <t>Training Type</t>
  </si>
  <si>
    <t>Month</t>
  </si>
  <si>
    <t>Target Hours</t>
  </si>
  <si>
    <t>Actual Hours</t>
  </si>
  <si>
    <t>Achievement %</t>
  </si>
  <si>
    <t>Status</t>
  </si>
  <si>
    <t>📋  EXERCISE 1 GUIDE — Follow these steps</t>
  </si>
  <si>
    <t>TASK 1 — Column G:  Click G6. Type header: Achievement %</t>
  </si>
  <si>
    <t>E001</t>
  </si>
  <si>
    <t>HR</t>
  </si>
  <si>
    <t>Onboarding</t>
  </si>
  <si>
    <t>Jan</t>
  </si>
  <si>
    <t>Step 1:  Click cell G8. Type exactly: =(F8/E8)*100  then press Enter.</t>
  </si>
  <si>
    <t>E002</t>
  </si>
  <si>
    <t>Skill Development</t>
  </si>
  <si>
    <t>Step 2:  Result for E001: Target=20, Actual=22 → (22÷20)×100 = 110.0  ✅</t>
  </si>
  <si>
    <t>E003</t>
  </si>
  <si>
    <t>Compliance</t>
  </si>
  <si>
    <t>Step 3:  Select G8. Double-click the fill handle (bottom-right corner) to fill to G127.</t>
  </si>
  <si>
    <t>E004</t>
  </si>
  <si>
    <t>Leadership</t>
  </si>
  <si>
    <t>Step 4:  Select G8:G127. Home → Number format → Number, 1 decimal place.</t>
  </si>
  <si>
    <t>E005</t>
  </si>
  <si>
    <t>Finance</t>
  </si>
  <si>
    <t>TASK 2 — Column H:  Click H6. Type header: Status</t>
  </si>
  <si>
    <t>E006</t>
  </si>
  <si>
    <t>Step 5:  Click H8. Type exactly:</t>
  </si>
  <si>
    <t>E007</t>
  </si>
  <si>
    <t>E008</t>
  </si>
  <si>
    <t>Step 6:  Press Enter. E001 (110%) → should show: On Track ✅</t>
  </si>
  <si>
    <t>E009</t>
  </si>
  <si>
    <t>IT</t>
  </si>
  <si>
    <t>Step 7:  Select H8. Double-click fill handle to fill to H127.</t>
  </si>
  <si>
    <t>E010</t>
  </si>
  <si>
    <t>TASK 3 — Traffic Light:  Select H8:H127. Apply Conditional Formatting:</t>
  </si>
  <si>
    <t>E011</t>
  </si>
  <si>
    <t>Step 8:  Home → Conditional Formatting → Highlight Cells → Text that Contains</t>
  </si>
  <si>
    <t>E012</t>
  </si>
  <si>
    <t>Step 9:  Type: On Track → choose: Green Fill with Dark Green Text → OK</t>
  </si>
  <si>
    <t>E013</t>
  </si>
  <si>
    <t>Marketing</t>
  </si>
  <si>
    <t>Step 10:  Repeat: Watch → Yellow Fill with Dark Yellow Text → OK</t>
  </si>
  <si>
    <t>E014</t>
  </si>
  <si>
    <t>Step 11:  Repeat: Below Target → Red Fill with Dark Red Text → OK</t>
  </si>
  <si>
    <t>E015</t>
  </si>
  <si>
    <t>VERIFY:  E007 Finance Compliance Jan: Target=25, Actual=18 → 72.0% → Below Target (Red) 🔴</t>
  </si>
  <si>
    <t>E016</t>
  </si>
  <si>
    <t>VERIFY:  E010 IT Skill Dev Jan: Target=35, Actual=40 → 114.3% → On Track (Green) ✅</t>
  </si>
  <si>
    <t>E017</t>
  </si>
  <si>
    <t>Operations</t>
  </si>
  <si>
    <t>E018</t>
  </si>
  <si>
    <t>E019</t>
  </si>
  <si>
    <t>E020</t>
  </si>
  <si>
    <t>E021</t>
  </si>
  <si>
    <t>Feb</t>
  </si>
  <si>
    <t>E022</t>
  </si>
  <si>
    <t>E023</t>
  </si>
  <si>
    <t>E024</t>
  </si>
  <si>
    <t>E025</t>
  </si>
  <si>
    <t>E026</t>
  </si>
  <si>
    <t>E027</t>
  </si>
  <si>
    <t>E028</t>
  </si>
  <si>
    <t>E029</t>
  </si>
  <si>
    <t>E030</t>
  </si>
  <si>
    <t>E031</t>
  </si>
  <si>
    <t>E032</t>
  </si>
  <si>
    <t>E033</t>
  </si>
  <si>
    <t>E034</t>
  </si>
  <si>
    <t>E035</t>
  </si>
  <si>
    <t>E036</t>
  </si>
  <si>
    <t>E037</t>
  </si>
  <si>
    <t>E038</t>
  </si>
  <si>
    <t>E039</t>
  </si>
  <si>
    <t>E040</t>
  </si>
  <si>
    <t>E041</t>
  </si>
  <si>
    <t>Mar</t>
  </si>
  <si>
    <t>E042</t>
  </si>
  <si>
    <t>E043</t>
  </si>
  <si>
    <t>E044</t>
  </si>
  <si>
    <t>E045</t>
  </si>
  <si>
    <t>E046</t>
  </si>
  <si>
    <t>E047</t>
  </si>
  <si>
    <t>E048</t>
  </si>
  <si>
    <t>E049</t>
  </si>
  <si>
    <t>E050</t>
  </si>
  <si>
    <t>E051</t>
  </si>
  <si>
    <t>E052</t>
  </si>
  <si>
    <t>E053</t>
  </si>
  <si>
    <t>E054</t>
  </si>
  <si>
    <t>E055</t>
  </si>
  <si>
    <t>E056</t>
  </si>
  <si>
    <t>E057</t>
  </si>
  <si>
    <t>E058</t>
  </si>
  <si>
    <t>E059</t>
  </si>
  <si>
    <t>E060</t>
  </si>
  <si>
    <t>E061</t>
  </si>
  <si>
    <t>Apr</t>
  </si>
  <si>
    <t>E062</t>
  </si>
  <si>
    <t>E063</t>
  </si>
  <si>
    <t>E064</t>
  </si>
  <si>
    <t>E065</t>
  </si>
  <si>
    <t>E066</t>
  </si>
  <si>
    <t>E067</t>
  </si>
  <si>
    <t>E068</t>
  </si>
  <si>
    <t>E069</t>
  </si>
  <si>
    <t>E070</t>
  </si>
  <si>
    <t>E071</t>
  </si>
  <si>
    <t>E072</t>
  </si>
  <si>
    <t>E073</t>
  </si>
  <si>
    <t>E074</t>
  </si>
  <si>
    <t>E075</t>
  </si>
  <si>
    <t>E076</t>
  </si>
  <si>
    <t>E077</t>
  </si>
  <si>
    <t>E078</t>
  </si>
  <si>
    <t>E079</t>
  </si>
  <si>
    <t>E080</t>
  </si>
  <si>
    <t>E081</t>
  </si>
  <si>
    <t>May</t>
  </si>
  <si>
    <t>E082</t>
  </si>
  <si>
    <t>E083</t>
  </si>
  <si>
    <t>E084</t>
  </si>
  <si>
    <t>E085</t>
  </si>
  <si>
    <t>E086</t>
  </si>
  <si>
    <t>E087</t>
  </si>
  <si>
    <t>E088</t>
  </si>
  <si>
    <t>E089</t>
  </si>
  <si>
    <t>E090</t>
  </si>
  <si>
    <t>E091</t>
  </si>
  <si>
    <t>E092</t>
  </si>
  <si>
    <t>E093</t>
  </si>
  <si>
    <t>E094</t>
  </si>
  <si>
    <t>E095</t>
  </si>
  <si>
    <t>E096</t>
  </si>
  <si>
    <t>E097</t>
  </si>
  <si>
    <t>E098</t>
  </si>
  <si>
    <t>E099</t>
  </si>
  <si>
    <t>E100</t>
  </si>
  <si>
    <t>E101</t>
  </si>
  <si>
    <t>Jun</t>
  </si>
  <si>
    <t>E102</t>
  </si>
  <si>
    <t>E103</t>
  </si>
  <si>
    <t>E104</t>
  </si>
  <si>
    <t>E105</t>
  </si>
  <si>
    <t>E106</t>
  </si>
  <si>
    <t>E107</t>
  </si>
  <si>
    <t>E108</t>
  </si>
  <si>
    <t>E109</t>
  </si>
  <si>
    <t>E110</t>
  </si>
  <si>
    <t>E111</t>
  </si>
  <si>
    <t>E112</t>
  </si>
  <si>
    <t>E113</t>
  </si>
  <si>
    <t>E114</t>
  </si>
  <si>
    <t>E115</t>
  </si>
  <si>
    <t>E116</t>
  </si>
  <si>
    <t>E117</t>
  </si>
  <si>
    <t>E118</t>
  </si>
  <si>
    <t>E119</t>
  </si>
  <si>
    <t>E120</t>
  </si>
  <si>
    <t>📊  QUICK ANALYSIS — Use these formulas after Exercise 1</t>
  </si>
  <si>
    <t>Total rows</t>
  </si>
  <si>
    <t>Should be 120</t>
  </si>
  <si>
    <t>Count: On Track</t>
  </si>
  <si>
    <t>How many green rows?</t>
  </si>
  <si>
    <t>Count: Watch</t>
  </si>
  <si>
    <t>How many yellow rows?</t>
  </si>
  <si>
    <t>Count: Below Target</t>
  </si>
  <si>
    <t>How many red rows?</t>
  </si>
  <si>
    <t>Overall Avg Achievement %</t>
  </si>
  <si>
    <t>Average across all 120 rows</t>
  </si>
  <si>
    <t>IT Avg Achievement %</t>
  </si>
  <si>
    <t>Average for IT department only</t>
  </si>
  <si>
    <t>Finance Avg Achievement %</t>
  </si>
  <si>
    <t>Average for Finance department only</t>
  </si>
  <si>
    <t>Compliance Avg %</t>
  </si>
  <si>
    <t>Average for Compliance training type</t>
  </si>
  <si>
    <t>⚠  CAUTION: Formula must be =(F8/E8)*100 NOT =(E8/F8)*100. Actual ÷ Target × 100. Wrong order = wrong results.</t>
  </si>
  <si>
    <t>Exercise 1  |  Module 1: Build KPI Formulas &amp; Traffic Light</t>
  </si>
  <si>
    <t>Work on the Employee_Training_Data sheet. Use this sheet as your step-by-step guide and answer record.</t>
  </si>
  <si>
    <t>🎯  OBJECTIVE</t>
  </si>
  <si>
    <t>✅  Build the Achievement % formula in column G of Employee_Training_Data.</t>
  </si>
  <si>
    <t>✅  Build the Status IF formula in column H.</t>
  </si>
  <si>
    <t>✅  Apply Conditional Formatting (Green / Yellow / Red) to the Status column.</t>
  </si>
  <si>
    <t>📊  Use COUNTIF and AVERAGEIF to analyse the results.</t>
  </si>
  <si>
    <t>📋  STEP-BY-STEP INSTRUCTIONS</t>
  </si>
  <si>
    <t>TASK 1 — Achievement % Column</t>
  </si>
  <si>
    <t>Go to Employee_Training_Data sheet. Click cell G6 and type: Achievement %</t>
  </si>
  <si>
    <t>Step 1 — Formula</t>
  </si>
  <si>
    <t>Click G8. Type this formula exactly:  =(F8/E8)*100  then press Enter.</t>
  </si>
  <si>
    <t>Formula means</t>
  </si>
  <si>
    <t>Actual Hours ÷ Target Hours × 100 = percentage of target achieved</t>
  </si>
  <si>
    <t>Expected result</t>
  </si>
  <si>
    <t>E001: Target=20, Actual=22 → (22÷20)×100 = 110.0  → ON TRACK ✅</t>
  </si>
  <si>
    <t>Step 2 — Fill down</t>
  </si>
  <si>
    <t>Select G8. Double-click the fill handle (bottom-right corner square) to fill down to G127.</t>
  </si>
  <si>
    <t>Step 3 — Format</t>
  </si>
  <si>
    <t>Select G8:G127 → Home → Number format dropdown → Number → set 1 decimal place.</t>
  </si>
  <si>
    <t>TASK 2 — Status Column</t>
  </si>
  <si>
    <t>Click H6. Type: Status</t>
  </si>
  <si>
    <t>Step 4 — IF Formula</t>
  </si>
  <si>
    <t>Click H8. Type: =IF(G8&gt;=100,"On Track",IF(G8&gt;=80,"Watch","Below Target"))  then Enter.</t>
  </si>
  <si>
    <t>What this means</t>
  </si>
  <si>
    <t>If Achievement ≥ 100% → On Track | If ≥ 80% → Watch | If &lt; 80% → Below Target</t>
  </si>
  <si>
    <t>Step 5 — Fill down</t>
  </si>
  <si>
    <t>Select H8. Double-click fill handle to fill to H127. Check 120 rows are filled.</t>
  </si>
  <si>
    <t>TASK 3 — Traffic Light</t>
  </si>
  <si>
    <t>Select H8:H127 → Home → Conditional Formatting → Highlight Cells Rules → Text that Contains</t>
  </si>
  <si>
    <t>Step 6 — Green</t>
  </si>
  <si>
    <t>Type: On Track → From dropdown choose: Green Fill with Dark Green Text → Click OK</t>
  </si>
  <si>
    <t>Step 7 — Yellow</t>
  </si>
  <si>
    <t>Apply again: Watch → Yellow Fill with Dark Yellow Text → Click OK</t>
  </si>
  <si>
    <t>Step 8 — Red</t>
  </si>
  <si>
    <t>Apply again: Below Target → Red Fill with Dark Red Text → Click OK</t>
  </si>
  <si>
    <t>Step 9 — Verify</t>
  </si>
  <si>
    <t>Scroll through column H. Can you spot the red rows at a glance? That is the power of KPI visualisation.</t>
  </si>
  <si>
    <t>✅  VERIFY YOUR ANSWERS</t>
  </si>
  <si>
    <t>Employee / Record</t>
  </si>
  <si>
    <t>Target &amp; Actual</t>
  </si>
  <si>
    <t>Expected Achievement %</t>
  </si>
  <si>
    <t>Expected Status</t>
  </si>
  <si>
    <t>E001 HR Onboarding Jan</t>
  </si>
  <si>
    <t>Target=20, Actual=22</t>
  </si>
  <si>
    <t>110.0%</t>
  </si>
  <si>
    <t>On Track</t>
  </si>
  <si>
    <t>E002 HR Skill Dev Jan</t>
  </si>
  <si>
    <t>Target=25, Actual=28</t>
  </si>
  <si>
    <t>112.0%</t>
  </si>
  <si>
    <t>E003 HR Compliance Jan</t>
  </si>
  <si>
    <t>Target=15, Actual=14</t>
  </si>
  <si>
    <t>93.3%</t>
  </si>
  <si>
    <t>Watch</t>
  </si>
  <si>
    <t>E007 Finance Compliance Jan</t>
  </si>
  <si>
    <t>Target=25, Actual=18</t>
  </si>
  <si>
    <t>72.0%</t>
  </si>
  <si>
    <t>Below Target</t>
  </si>
  <si>
    <t>E010 IT Skill Dev Jan</t>
  </si>
  <si>
    <t>Target=35, Actual=40</t>
  </si>
  <si>
    <t>114.3%</t>
  </si>
  <si>
    <t>E027 Finance Compliance Feb</t>
  </si>
  <si>
    <t>Target=26, Actual=20</t>
  </si>
  <si>
    <t>76.9%</t>
  </si>
  <si>
    <t>E040 Operations Leadership Feb</t>
  </si>
  <si>
    <t>Target=31, Actual=27</t>
  </si>
  <si>
    <t>87.1%</t>
  </si>
  <si>
    <t>E047 Finance Compliance Mar</t>
  </si>
  <si>
    <t>Target=27, Actual=21</t>
  </si>
  <si>
    <t>77.8%</t>
  </si>
  <si>
    <t>E060 Operations Leadership Mar</t>
  </si>
  <si>
    <t>Target=32, Actual=28</t>
  </si>
  <si>
    <t>87.5%</t>
  </si>
  <si>
    <t>E067 Finance Compliance Apr</t>
  </si>
  <si>
    <t>Target=28, Actual=22</t>
  </si>
  <si>
    <t>78.6%</t>
  </si>
  <si>
    <t>E080 Operations Leadership Apr</t>
  </si>
  <si>
    <t>Target=33, Actual=29</t>
  </si>
  <si>
    <t>87.9%</t>
  </si>
  <si>
    <t>E087 Finance Compliance May</t>
  </si>
  <si>
    <t>Target=29, Actual=23</t>
  </si>
  <si>
    <t>79.3%</t>
  </si>
  <si>
    <t>E100 Operations Leadership May</t>
  </si>
  <si>
    <t>Target=34, Actual=30</t>
  </si>
  <si>
    <t>88.2%</t>
  </si>
  <si>
    <t>E107 Finance Compliance Jun</t>
  </si>
  <si>
    <t>Target=30, Actual=24</t>
  </si>
  <si>
    <t>80.0%</t>
  </si>
  <si>
    <t>E110 IT Skill Dev Jun</t>
  </si>
  <si>
    <t>Target=40, Actual=46</t>
  </si>
  <si>
    <t>115.0%</t>
  </si>
  <si>
    <t>✏  ANSWER RECORD — Write what you found</t>
  </si>
  <si>
    <t>Q1: E003 status</t>
  </si>
  <si>
    <t>Q2: Most red dept</t>
  </si>
  <si>
    <t>Q3: Best dept</t>
  </si>
  <si>
    <t>Q4: Count formula</t>
  </si>
  <si>
    <t>Q5: Lagging or Leading?</t>
  </si>
  <si>
    <t>EXPECTED ANSWERS: Q1: 93.3% → Watch (Yellow). Q2: Finance (Compliance training consistently below 80%). Q3: IT (115%+ on Skill Development every month). Q4: Check Answer_Key sheet. Q5: Lagging — it measures completed hours AFTER the month ends.</t>
  </si>
  <si>
    <t>Exercise 2  |  Module 2: Create PivotTable, Slicers &amp; Report Connections</t>
  </si>
  <si>
    <t>Build a PivotTable from the training data, add interactive Slicers, and connect them to multiple visuals.</t>
  </si>
  <si>
    <t>✅  Create a PivotTable from Employee_Training_Data showing Hours by Dept × Training Type.</t>
  </si>
  <si>
    <t>✅  Add Department Slicer and Month Slicer for interactive filtering.</t>
  </si>
  <si>
    <t>✅  Create a second PivotTable (monthly trend) and connect both to the same Slicer.</t>
  </si>
  <si>
    <t>✅  Insert a PivotChart and verify Report Connections work across all visuals.</t>
  </si>
  <si>
    <t>📋  TASK 1: Create PivotTable (PT_Training)</t>
  </si>
  <si>
    <t>Step 1</t>
  </si>
  <si>
    <t>Go to Employee_Training_Data sheet. Click any cell inside the data table (e.g., cell A8).</t>
  </si>
  <si>
    <t>Step 2</t>
  </si>
  <si>
    <t>Go to Insert tab → click PivotTable → New Worksheet → click OK.</t>
  </si>
  <si>
    <t>Step 3</t>
  </si>
  <si>
    <t>A new blank sheet opens. In the PivotTable Field List on the right:</t>
  </si>
  <si>
    <t>Step 4</t>
  </si>
  <si>
    <t>Drag 'Department' → drop into ROWS area (bottom-left box).</t>
  </si>
  <si>
    <t>Step 5</t>
  </si>
  <si>
    <t>Drag 'Training Type' → drop into COLUMNS area (bottom-right box).</t>
  </si>
  <si>
    <t>Step 6</t>
  </si>
  <si>
    <t>Drag 'Actual Hours' → drop into VALUES area. It should show 'Sum of Actual Hours'.</t>
  </si>
  <si>
    <t>Step 7</t>
  </si>
  <si>
    <t>The PivotTable now shows total Actual Hours for each Dept × Training Type combination.</t>
  </si>
  <si>
    <t>Step 8</t>
  </si>
  <si>
    <t>Right-click any number → Value Field Settings → Custom Name: type 'Total Actual Hours' → OK.</t>
  </si>
  <si>
    <t>Step 9</t>
  </si>
  <si>
    <t>Rename this sheet: right-click the sheet tab → Rename → type: PT_Training → press Enter.</t>
  </si>
  <si>
    <t>Step ✅</t>
  </si>
  <si>
    <t>Your table should have 5 rows (HR, Finance, IT, Marketing, Operations) and 4 columns of training types.</t>
  </si>
  <si>
    <t>📋  TASK 2: Add Department and Month Slicers</t>
  </si>
  <si>
    <t>Click anywhere INSIDE the PivotTable (any data cell). The PivotTable Analyze tab appears at the top of the ribbon.</t>
  </si>
  <si>
    <t>Click the PivotTable Analyze tab → click 'Insert Slicer' in the Filter group.</t>
  </si>
  <si>
    <t>A checkbox dialog appears showing all available field names.</t>
  </si>
  <si>
    <t>Put a checkmark next to 'Department'. Put a checkmark next to 'Month'. Click OK.</t>
  </si>
  <si>
    <t>Two Slicer panels appear on the sheet: one for Department, one for Month.</t>
  </si>
  <si>
    <t>Click 'IT' in the Department Slicer. The PivotTable instantly filters to show only IT data.</t>
  </si>
  <si>
    <t>Hold Ctrl on your keyboard and click 'HR'. Now IT and HR both show in the PivotTable.</t>
  </si>
  <si>
    <t>Click the X button (top-right of Department Slicer) to clear the filter. All data returns.</t>
  </si>
  <si>
    <t>Click 'Jan' in the Month Slicer. Only January data shows.</t>
  </si>
  <si>
    <t>Step 10</t>
  </si>
  <si>
    <t>Click X on Month Slicer to clear. Move slicers: drag the title bar. Resize: drag corner handles.</t>
  </si>
  <si>
    <t>Step ★</t>
  </si>
  <si>
    <t>Click Department Slicer → Slicer tab appears in ribbon → choose a dark blue style to match.</t>
  </si>
  <si>
    <t>📋  TASK 3: Create Second PivotTable (PT_Monthly) and Connect Slicer</t>
  </si>
  <si>
    <t>Click outside the PT_Training PivotTable area on a blank cell. Go to Insert → PivotTable → New Worksheet → OK.</t>
  </si>
  <si>
    <t>In Field List: drag 'Month' → Rows | drag 'Actual Hours' → Values (Sum).</t>
  </si>
  <si>
    <t>Rename this sheet: PT_Monthly</t>
  </si>
  <si>
    <t>Go BACK to PT_Training sheet. Click on the Department Slicer to select it.</t>
  </si>
  <si>
    <t>Right-click the Department Slicer → select 'Report Connections' from the menu.</t>
  </si>
  <si>
    <t>A dialog shows all PivotTables in the workbook. Put a checkmark next to BOTH PT_Training and PT_Monthly.</t>
  </si>
  <si>
    <t>Click OK. Now the one Department Slicer controls BOTH PivotTables.</t>
  </si>
  <si>
    <t>Click 'Finance' in Department Slicer. Now check PT_Monthly sheet — does it also show only Finance? ✅</t>
  </si>
  <si>
    <t>Click 'IT'. Both tables update. This is Report Connections in action.</t>
  </si>
  <si>
    <t>Create a PivotChart: click inside PT_Training → PivotTable Analyze → PivotChart → Clustered Bar → OK.</t>
  </si>
  <si>
    <t>Right-click the chart → Move Chart → Object in → PT_Training. Connect to slicer via Report Connections.</t>
  </si>
  <si>
    <t>Q1: IT total hours (all months)</t>
  </si>
  <si>
    <t>Q2: Finance + HR combined</t>
  </si>
  <si>
    <t>Q3: Report Connections test</t>
  </si>
  <si>
    <t>Q4: Slicer vs dropdown</t>
  </si>
  <si>
    <t>Q5: Month with most hours</t>
  </si>
  <si>
    <t>⚠  CAUTION: If clicking the Slicer does NOT update PT_Monthly — you forgot Report Connections. Fix: right-click Slicer → Report Connections → check PT_Monthly → OK.</t>
  </si>
  <si>
    <t>Exercise 3  |  Module 3 + 5: Build the Complete Training Dashboard</t>
  </si>
  <si>
    <t>Apply the 5 Design Principles. Build KPI boxes, insert charts, position slicers. Final capstone exercise.</t>
  </si>
  <si>
    <t>🏆  CAPSTONE OBJECTIVE — Build a professional, interactive Training Dashboard</t>
  </si>
  <si>
    <t>Create a NEW sheet called Training_Dashboard. Follow all 16 steps below. At the end, test: click a Slicer button — ALL visuals must update simultaneously.</t>
  </si>
  <si>
    <t>🗺  DASHBOARD LAYOUT PLAN (draw this on paper before you start)</t>
  </si>
  <si>
    <t>ZONE 1 — TOP (Rows 1–5)</t>
  </si>
  <si>
    <t>KPI BOXES: Overall Achievement % | On Track Count | Below Target Count</t>
  </si>
  <si>
    <t>ZONE 2 — MIDDLE (Rows 7–20)</t>
  </si>
  <si>
    <t>CHARTS: Bar chart (Dept hours) LEFT | Line chart (Monthly trend) RIGHT</t>
  </si>
  <si>
    <t>ZONE 3 — BOTTOM (Rows 22–30)</t>
  </si>
  <si>
    <t>DETAIL: PivotTable showing Dept × Training Type breakdown</t>
  </si>
  <si>
    <t>ZONE 4 — RIGHT (Col H+)</t>
  </si>
  <si>
    <t>SLICERS: Department + Month (positioned so they don't block charts)</t>
  </si>
  <si>
    <t>📋  STEP-BY-STEP BUILD INSTRUCTIONS</t>
  </si>
  <si>
    <t>STEP 1 — New Sheet</t>
  </si>
  <si>
    <t>Insert a new sheet. Right-click the sheet tab → Rename → type: Training_Dashboard → Enter.</t>
  </si>
  <si>
    <t>STEP 2 — Remove Gridlines</t>
  </si>
  <si>
    <t>View tab → uncheck 'Gridlines'. The sheet is now clean with no grid marks.</t>
  </si>
  <si>
    <t>STEP 3 — Dashboard Title</t>
  </si>
  <si>
    <t>Merge cells A1:E1. Type: Training Performance Dashboard — Jan–Jun 2024. Format: Dark Blue fill (#1E3A5F), White Bold text, Size 16. Set row 1 height = 40.</t>
  </si>
  <si>
    <t>STEP 4 — KPI Box 1: Overall Achievement</t>
  </si>
  <si>
    <t>Merge A3:B4. In a cell next to it, type this formula:  =AVERAGEIF('Employee_Training_Data'!G8:G127,"&gt;0")  Format: Blue fill, White bold text size 22. Label below: 'Overall Achievement %'.</t>
  </si>
  <si>
    <t>STEP 5 — KPI Box 2: On Track Count</t>
  </si>
  <si>
    <t>Merge D3:E4. Type: =COUNTIF('Employee_Training_Data'!H8:H127,"On Track")  Format: Green fill (#15803D), White bold. Label: 'On Track'.</t>
  </si>
  <si>
    <t>STEP 6 — KPI Box 3: Below Target Count</t>
  </si>
  <si>
    <t>Merge G3:H4. Type: =COUNTIF('Employee_Training_Data'!H8:H127,"Below Target")  Format: Red fill (#991B1B), White bold. Label: 'Below Target'.</t>
  </si>
  <si>
    <t>STEP 7 — Bar Chart (Dept Hours)</t>
  </si>
  <si>
    <t>Go to PT_Training sheet. Click inside PivotTable. Right-click chart (if it exists) OR create: PivotTable Analyze → PivotChart → Clustered Bar → OK.</t>
  </si>
  <si>
    <t>STEP 8 — Move Bar Chart to Dashboard</t>
  </si>
  <si>
    <t>Right-click the bar chart → Move Chart → Object in → select 'Training_Dashboard' → OK. Resize to fill rows 6–20, columns A–D.</t>
  </si>
  <si>
    <t>STEP 9 — Line Chart (Monthly Trend)</t>
  </si>
  <si>
    <t>Go to PT_Monthly. Click inside PivotTable → PivotTable Analyze → PivotChart → Line → Line with Markers → OK.</t>
  </si>
  <si>
    <t>STEP 10 — Move Line Chart to Dashboard</t>
  </si>
  <si>
    <t>Right-click line chart → Move Chart → Object in → Training_Dashboard → OK. Position: rows 6–20, columns E–H. Make SAME HEIGHT as bar chart.</t>
  </si>
  <si>
    <t>STEP 11 — Add Chart Titles</t>
  </si>
  <si>
    <t>Click bar chart → click '+' button → check Chart Title. Type: 'Training Hours by Department'. Repeat for line chart: 'Monthly Training Hours Trend'.</t>
  </si>
  <si>
    <t>STEP 12 — Move Slicers to Dashboard</t>
  </si>
  <si>
    <t>Go to PT_Training. Click Department Slicer. Cut (Ctrl+X). Go to Training_Dashboard. Paste (Ctrl+V). Position to the RIGHT of the charts (column I onwards). Repeat for Month Slicer.</t>
  </si>
  <si>
    <t>STEP 13 — Connect Slicers</t>
  </si>
  <si>
    <t>Right-click Department Slicer → Report Connections → check ALL PivotTables → OK. Repeat for Month Slicer.</t>
  </si>
  <si>
    <t>STEP 14 — Format Slicers</t>
  </si>
  <si>
    <t>Click Department Slicer → Slicer tab → choose dark blue style. Repeat for Month Slicer.</t>
  </si>
  <si>
    <t>STEP 15 — 5 Principles Checklist</t>
  </si>
  <si>
    <t>Hierarchy: KPIs at top ✓ | Alignment: charts same height ✓ | White Space: gaps between zones ✓ | Colour: green/red on KPI boxes ✓ | Consistency: one font throughout ✓</t>
  </si>
  <si>
    <t>STEP 16 — FINAL TEST</t>
  </si>
  <si>
    <t>Click 'IT' in Department Slicer. Do BOTH charts AND KPI counts update? If YES → YOUR DASHBOARD IS COMPLETE! 🎉</t>
  </si>
  <si>
    <t>✅  DASHBOARD SELF-CHECKLIST</t>
  </si>
  <si>
    <t>☐  KPI boxes visible at top with correct numbers (Achievement %, On Track, Below Target)</t>
  </si>
  <si>
    <t>☐  Two charts side by side in the middle — same height, both have chart titles</t>
  </si>
  <si>
    <t>☐  Slicers positioned to the right — not blocking any charts</t>
  </si>
  <si>
    <t>☐  Gridlines turned off — dashboard background is clean</t>
  </si>
  <si>
    <t>☐  Click 'IT' in Slicer → both charts AND KPI boxes all update together</t>
  </si>
  <si>
    <t>☐  Click 'Finance' in Slicer → Finance Compliance (red rows) becomes visible in chart</t>
  </si>
  <si>
    <t>☐  Click 'Jan' in Month Slicer → charts show January only</t>
  </si>
  <si>
    <t>☐  Clear all slicers (X button) → full data returns to all visuals</t>
  </si>
  <si>
    <t>✏  REFLECTION QUESTIONS — Answer after completing the dashboard</t>
  </si>
  <si>
    <t>R1: Dept with most red</t>
  </si>
  <si>
    <t>R2: Best training type</t>
  </si>
  <si>
    <t>R3: Month trend</t>
  </si>
  <si>
    <t>R4: Report vs Dashboard</t>
  </si>
  <si>
    <t>R5: Design principle</t>
  </si>
  <si>
    <t>Answer Key  |  Expected Values for All Exercises</t>
  </si>
  <si>
    <t>Check your work against these expected answers after completing each exercise.</t>
  </si>
  <si>
    <t>Use this sheet AFTER completing each exercise to verify your formulas are correct. Do not look at this sheet before attempting the exercise!</t>
  </si>
  <si>
    <t>📊  EXERCISE 1 — KPI Achievement % Expected Values (selected rows)</t>
  </si>
  <si>
    <t>Employee &amp; Detail</t>
  </si>
  <si>
    <t>E001 — HR Onboarding Jan: Target=20, Actual=22</t>
  </si>
  <si>
    <t>E002 — HR Skill Development Jan: Target=25, Actual=28</t>
  </si>
  <si>
    <t>E003 — HR Compliance Jan: Target=15, Actual=14</t>
  </si>
  <si>
    <t>E007 — Finance Compliance Jan: Target=25, Actual=18</t>
  </si>
  <si>
    <t>E010 — IT Skill Development Jan: Target=35, Actual=40</t>
  </si>
  <si>
    <t>E011 — IT Compliance Jan: Target=20, Actual=19</t>
  </si>
  <si>
    <t>95.0%</t>
  </si>
  <si>
    <t>E020 — Operations Leadership Jan: Target=30, Actual=26</t>
  </si>
  <si>
    <t>86.7%</t>
  </si>
  <si>
    <t>E027 — Finance Compliance Feb: Target=26, Actual=20</t>
  </si>
  <si>
    <t>E039 — Operations Compliance Feb: Target=23, Actual=22</t>
  </si>
  <si>
    <t>95.7%</t>
  </si>
  <si>
    <t>E047 — Finance Compliance Mar: Target=27, Actual=21</t>
  </si>
  <si>
    <t>E060 — Operations Leadership Mar: Target=32, Actual=28</t>
  </si>
  <si>
    <t>E067 — Finance Compliance Apr: Target=28, Actual=22</t>
  </si>
  <si>
    <t>E080 — Operations Leadership Apr: Target=33, Actual=29</t>
  </si>
  <si>
    <t>E087 — Finance Compliance May: Target=29, Actual=23</t>
  </si>
  <si>
    <t>E100 — Operations Leadership May: Target=34, Actual=30</t>
  </si>
  <si>
    <t>E107 — Finance Compliance Jun: Target=30, Actual=24</t>
  </si>
  <si>
    <t>E110 — IT Skill Development Jun: Target=40, Actual=46</t>
  </si>
  <si>
    <t>📊  AGGREGATE ANSWERS</t>
  </si>
  <si>
    <t>Total rows in dataset</t>
  </si>
  <si>
    <t>120 (E001 to E120)</t>
  </si>
  <si>
    <t>Count: On Track (≥ 100%)</t>
  </si>
  <si>
    <t>54 rows</t>
  </si>
  <si>
    <t>Count: Watch (≥ 80% but &lt; 100%)</t>
  </si>
  <si>
    <t>61 rows</t>
  </si>
  <si>
    <t>Count: Below Target (&lt; 80%)</t>
  </si>
  <si>
    <t>5 rows</t>
  </si>
  <si>
    <t>Overall Average Achievement %</t>
  </si>
  <si>
    <t>99.3%</t>
  </si>
  <si>
    <t>HR Average Achievement %</t>
  </si>
  <si>
    <t>103.2%</t>
  </si>
  <si>
    <t>Finance Average Achievement %</t>
  </si>
  <si>
    <t>91.5%  ← Lowest dept</t>
  </si>
  <si>
    <t>IT Average Achievement %</t>
  </si>
  <si>
    <t>105.7%  ← Highest dept</t>
  </si>
  <si>
    <t>Marketing Average Achievement %</t>
  </si>
  <si>
    <t>102.1%</t>
  </si>
  <si>
    <t>Operations Average Achievement %</t>
  </si>
  <si>
    <t>94.1%</t>
  </si>
  <si>
    <t>Onboarding Avg Achievement %</t>
  </si>
  <si>
    <t>100.8%</t>
  </si>
  <si>
    <t>Skill Development Avg Achievement %</t>
  </si>
  <si>
    <t>101.0%  ← IT drives this high</t>
  </si>
  <si>
    <t>Compliance Avg Achievement %</t>
  </si>
  <si>
    <t>94.6%  ← Lowest training type</t>
  </si>
  <si>
    <t>Leadership Avg Achievement %</t>
  </si>
  <si>
    <t>January Total Actual Hours</t>
  </si>
  <si>
    <t>481 hrs</t>
  </si>
  <si>
    <t>February Total Actual Hours</t>
  </si>
  <si>
    <t>502 hrs</t>
  </si>
  <si>
    <t>March Total Actual Hours</t>
  </si>
  <si>
    <t>523 hrs</t>
  </si>
  <si>
    <t>April Total Actual Hours</t>
  </si>
  <si>
    <t>543 hrs</t>
  </si>
  <si>
    <t>May Total Actual Hours</t>
  </si>
  <si>
    <t>561 hrs</t>
  </si>
  <si>
    <t>June Total Actual Hours</t>
  </si>
  <si>
    <t>582 hrs  ← Highest month</t>
  </si>
  <si>
    <t>📊  KEY INSIGHTS (for reflection questions)</t>
  </si>
  <si>
    <t>Most 'Below Target' department</t>
  </si>
  <si>
    <t>Finance — especially Compliance training. Finance Compliance is below 80% in ALL 6 months (72–80%).</t>
  </si>
  <si>
    <t>Best performing department</t>
  </si>
  <si>
    <t>IT — Skill Development consistently 114–115%. IT overall average is the highest of all departments.</t>
  </si>
  <si>
    <t>Lowest performing training type</t>
  </si>
  <si>
    <t>Compliance — average 94.6% across all departments. Finance Compliance is the weakest combination.</t>
  </si>
  <si>
    <t>Monthly trend direction</t>
  </si>
  <si>
    <t>Training hours increase from January to June across all departments — positive upward trend.</t>
  </si>
  <si>
    <t>Dashboard vs Report</t>
  </si>
  <si>
    <t>Manager wants individual records → give the Report (data sheet). Manager wants performance overview → give the Dashboard.</t>
  </si>
  <si>
    <t>Row Labels</t>
  </si>
  <si>
    <t>Grand Total</t>
  </si>
  <si>
    <t>Column Labels</t>
  </si>
  <si>
    <t>Total Actual Hours</t>
  </si>
  <si>
    <t>Sum of Actual Hours</t>
  </si>
  <si>
    <t>Click IT in Slicer. What is the Grand Total for IT? 128</t>
  </si>
  <si>
    <t>Ctrl+click Finance AND HR. Combined Grand Total = 220</t>
  </si>
  <si>
    <t>When you click 'Operations', does PT_Monthly also filter? Yes / No: No</t>
  </si>
  <si>
    <t>Clear all slicer filters. Which Month has the highest total Actual Hours? May</t>
  </si>
  <si>
    <t>What is the main advantage of a Slicer over the PivotTable dropdown filter? It is consuming and we need to search for it but slicers help with just simple click</t>
  </si>
  <si>
    <t>Training Performance Dashboard — Jan–Jun 2024.</t>
  </si>
  <si>
    <t>Overall Achievement %</t>
  </si>
  <si>
    <t>HR Compliance Jan (Target=15, Actual=14): Achievement = 93.3% Status = Watch</t>
  </si>
  <si>
    <t>Which Department appears most often as 'Below Target'? Finance</t>
  </si>
  <si>
    <t>Which Department has the highest average Achievement %? IT-105.7%</t>
  </si>
  <si>
    <t>How many rows are 'Below Target' total? Formula: =COUNTIF(H8:H127,"Below Target") = 5</t>
  </si>
  <si>
    <t>Is 'Monthly Training Hours Achievement' a Leading or Lagging KPI? Why? Lagging KPI — it measures completed training hours after the month has ended.</t>
  </si>
  <si>
    <t>After filtering to each Department, which one has the most 'Below Target' employees? Finance</t>
  </si>
  <si>
    <t>Which Training Type has the highest average Achievement % across all departments? 101.0%</t>
  </si>
  <si>
    <t>Looking at the monthly trend chart, does training hours increase or decrease Jan to Jun? Iincrease</t>
  </si>
  <si>
    <t>If your manager asks for every employee's training record, do you give them this dashboard the data sheet? Why? Dashboard , beacause the dashboard contain ansser for all the buissness questions</t>
  </si>
  <si>
    <t>Which of the 5 Design Principles did you find hardest to apply in your dashboard? Why? Alignment and positioning without overlapping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</si>
</sst>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charset val="1"/>
    </font>
    <font>
      <sz val="11"/>
      <color theme="1"/>
      <name val="Calibri"/>
      <family val="2"/>
      <scheme val="minor"/>
    </font>
    <font>
      <b/>
      <sz val="15"/>
      <color rgb="FFFFFFFF"/>
      <name val="Calibri"/>
      <charset val="1"/>
    </font>
    <font>
      <b/>
      <sz val="10"/>
      <color rgb="FFFFFFFF"/>
      <name val="Calibri"/>
      <charset val="1"/>
    </font>
    <font>
      <b/>
      <sz val="10"/>
      <color rgb="FF92400E"/>
      <name val="Calibri"/>
      <charset val="1"/>
    </font>
    <font>
      <sz val="10"/>
      <color rgb="FF000000"/>
      <name val="Calibri"/>
      <charset val="1"/>
    </font>
    <font>
      <sz val="10"/>
      <color rgb="FFFFFFFF"/>
      <name val="Calibri"/>
      <charset val="1"/>
    </font>
    <font>
      <b/>
      <sz val="10"/>
      <color rgb="FF000000"/>
      <name val="Calibri"/>
      <charset val="1"/>
    </font>
    <font>
      <sz val="10"/>
      <color rgb="FF92400E"/>
      <name val="Calibri"/>
      <charset val="1"/>
    </font>
    <font>
      <b/>
      <sz val="10"/>
      <color rgb="FF15803D"/>
      <name val="Calibri"/>
      <charset val="1"/>
    </font>
    <font>
      <sz val="10"/>
      <color rgb="FF15803D"/>
      <name val="Calibri"/>
      <charset val="1"/>
    </font>
    <font>
      <b/>
      <sz val="10"/>
      <color rgb="FF1F4E79"/>
      <name val="Calibri"/>
      <charset val="1"/>
    </font>
    <font>
      <sz val="10"/>
      <color rgb="FF1F4E79"/>
      <name val="Calibri"/>
      <charset val="1"/>
    </font>
    <font>
      <b/>
      <sz val="10"/>
      <color rgb="FF276221"/>
      <name val="Calibri"/>
      <charset val="1"/>
    </font>
    <font>
      <sz val="10"/>
      <color rgb="FF276221"/>
      <name val="Calibri"/>
      <charset val="1"/>
    </font>
    <font>
      <b/>
      <sz val="10"/>
      <color rgb="FF9C6500"/>
      <name val="Calibri"/>
      <charset val="1"/>
    </font>
    <font>
      <sz val="10"/>
      <color rgb="FF9C6500"/>
      <name val="Calibri"/>
      <charset val="1"/>
    </font>
    <font>
      <b/>
      <sz val="10"/>
      <color rgb="FF9C0006"/>
      <name val="Calibri"/>
      <charset val="1"/>
    </font>
    <font>
      <sz val="10"/>
      <color rgb="FF9C0006"/>
      <name val="Calibri"/>
      <charset val="1"/>
    </font>
    <font>
      <b/>
      <sz val="10"/>
      <color rgb="FF991B1B"/>
      <name val="Calibri"/>
      <charset val="1"/>
    </font>
    <font>
      <sz val="10"/>
      <color rgb="FF991B1B"/>
      <name val="Calibri"/>
      <charset val="1"/>
    </font>
    <font>
      <i/>
      <sz val="9"/>
      <color rgb="FF0F766E"/>
      <name val="Calibri"/>
      <charset val="1"/>
    </font>
    <font>
      <i/>
      <sz val="9"/>
      <color rgb="FF92400E"/>
      <name val="Calibri"/>
      <charset val="1"/>
    </font>
    <font>
      <b/>
      <sz val="9"/>
      <color rgb="FF92400E"/>
      <name val="Calibri"/>
      <charset val="1"/>
    </font>
    <font>
      <sz val="9"/>
      <color rgb="FF000000"/>
      <name val="Calibri"/>
      <charset val="1"/>
    </font>
    <font>
      <i/>
      <sz val="9"/>
      <color rgb="FF15803D"/>
      <name val="Calibri"/>
      <charset val="1"/>
    </font>
    <font>
      <i/>
      <sz val="9"/>
      <color rgb="FF1F4E79"/>
      <name val="Calibri"/>
      <charset val="1"/>
    </font>
    <font>
      <i/>
      <sz val="9"/>
      <color rgb="FF555555"/>
      <name val="Calibri"/>
      <charset val="1"/>
    </font>
    <font>
      <i/>
      <sz val="9"/>
      <color rgb="FF991B1B"/>
      <name val="Calibri"/>
      <charset val="1"/>
    </font>
    <font>
      <sz val="10"/>
      <color rgb="FF1E3A5F"/>
      <name val="Calibri"/>
      <charset val="1"/>
    </font>
    <font>
      <sz val="9"/>
      <color rgb="FF92400E"/>
      <name val="Calibri"/>
      <charset val="1"/>
    </font>
    <font>
      <sz val="9"/>
      <color rgb="FF15803D"/>
      <name val="Calibri"/>
      <charset val="1"/>
    </font>
    <font>
      <b/>
      <sz val="9"/>
      <color rgb="FFFFFFFF"/>
      <name val="Calibri"/>
      <charset val="1"/>
    </font>
    <font>
      <sz val="9"/>
      <color rgb="FF1E3A5F"/>
      <name val="Calibri"/>
      <charset val="1"/>
    </font>
    <font>
      <b/>
      <sz val="9"/>
      <color rgb="FF276221"/>
      <name val="Calibri"/>
      <charset val="1"/>
    </font>
    <font>
      <sz val="9"/>
      <color rgb="FF276221"/>
      <name val="Calibri"/>
      <charset val="1"/>
    </font>
    <font>
      <b/>
      <sz val="9"/>
      <color rgb="FF1F4E79"/>
      <name val="Calibri"/>
      <charset val="1"/>
    </font>
    <font>
      <b/>
      <sz val="16"/>
      <color theme="0"/>
      <name val="Calibri"/>
      <family val="2"/>
    </font>
    <font>
      <sz val="9"/>
      <color rgb="FF1E3A5F"/>
      <name val="Calibri"/>
      <family val="2"/>
    </font>
    <font>
      <sz val="11"/>
      <color theme="0"/>
      <name val="Calibri"/>
      <family val="2"/>
      <charset val="1"/>
    </font>
    <font>
      <b/>
      <sz val="22"/>
      <color theme="0"/>
      <name val="Calibri"/>
      <family val="2"/>
    </font>
    <font>
      <sz val="22"/>
      <color theme="1"/>
      <name val="Calibri"/>
      <family val="2"/>
      <charset val="1"/>
    </font>
    <font>
      <sz val="9"/>
      <color rgb="FF15803D"/>
      <name val="Calibri"/>
      <family val="2"/>
    </font>
  </fonts>
  <fills count="21">
    <fill>
      <patternFill patternType="none"/>
    </fill>
    <fill>
      <patternFill patternType="gray125"/>
    </fill>
    <fill>
      <patternFill patternType="solid">
        <fgColor rgb="FF1E3A5F"/>
        <bgColor rgb="FF1F4E79"/>
      </patternFill>
    </fill>
    <fill>
      <patternFill patternType="solid">
        <fgColor rgb="FF1E40AF"/>
        <bgColor rgb="FF1F4E79"/>
      </patternFill>
    </fill>
    <fill>
      <patternFill patternType="solid">
        <fgColor rgb="FFFFF9C4"/>
        <bgColor rgb="FFFFEB9C"/>
      </patternFill>
    </fill>
    <fill>
      <patternFill patternType="solid">
        <fgColor rgb="FFFFFFFF"/>
        <bgColor rgb="FFEFF6FF"/>
      </patternFill>
    </fill>
    <fill>
      <patternFill patternType="solid">
        <fgColor rgb="FFEEF3F9"/>
        <bgColor rgb="FFEBF5FB"/>
      </patternFill>
    </fill>
    <fill>
      <patternFill patternType="solid">
        <fgColor rgb="FFDCFCE7"/>
        <bgColor rgb="FFEBF5FB"/>
      </patternFill>
    </fill>
    <fill>
      <patternFill patternType="solid">
        <fgColor rgb="FFEBF5FB"/>
        <bgColor rgb="FFEEF3F9"/>
      </patternFill>
    </fill>
    <fill>
      <patternFill patternType="solid">
        <fgColor rgb="FFC6EFCE"/>
        <bgColor rgb="FFDCFCE7"/>
      </patternFill>
    </fill>
    <fill>
      <patternFill patternType="solid">
        <fgColor rgb="FFFFEB9C"/>
        <bgColor rgb="FFFFF9C4"/>
      </patternFill>
    </fill>
    <fill>
      <patternFill patternType="solid">
        <fgColor rgb="FFFFC7CE"/>
        <bgColor rgb="FFFEE2E2"/>
      </patternFill>
    </fill>
    <fill>
      <patternFill patternType="solid">
        <fgColor rgb="FFFEE2E2"/>
        <bgColor rgb="FFEEF3F9"/>
      </patternFill>
    </fill>
    <fill>
      <patternFill patternType="solid">
        <fgColor rgb="FF766E22"/>
        <bgColor rgb="FF9C6500"/>
      </patternFill>
    </fill>
    <fill>
      <patternFill patternType="solid">
        <fgColor rgb="FF0F766E"/>
        <bgColor rgb="FF008080"/>
      </patternFill>
    </fill>
    <fill>
      <patternFill patternType="solid">
        <fgColor rgb="FF15803D"/>
        <bgColor rgb="FF0F766E"/>
      </patternFill>
    </fill>
    <fill>
      <patternFill patternType="solid">
        <fgColor rgb="FF6D28D9"/>
        <bgColor rgb="FF800080"/>
      </patternFill>
    </fill>
    <fill>
      <patternFill patternType="solid">
        <fgColor rgb="FFC2410C"/>
        <bgColor rgb="FF92400E"/>
      </patternFill>
    </fill>
    <fill>
      <patternFill patternType="solid">
        <fgColor rgb="FF002060"/>
        <bgColor indexed="64"/>
      </patternFill>
    </fill>
    <fill>
      <patternFill patternType="solid">
        <fgColor rgb="FF15803D"/>
        <bgColor indexed="64"/>
      </patternFill>
    </fill>
    <fill>
      <patternFill patternType="solid">
        <fgColor rgb="FF991B1B"/>
        <bgColor indexed="64"/>
      </patternFill>
    </fill>
  </fills>
  <borders count="4">
    <border>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medium">
        <color rgb="FF1E3A5F"/>
      </left>
      <right style="medium">
        <color rgb="FF1E3A5F"/>
      </right>
      <top style="medium">
        <color rgb="FF1E3A5F"/>
      </top>
      <bottom style="medium">
        <color rgb="FF1E3A5F"/>
      </bottom>
      <diagonal/>
    </border>
  </borders>
  <cellStyleXfs count="2">
    <xf numFmtId="0" fontId="0" fillId="0" borderId="0"/>
    <xf numFmtId="0" fontId="1" fillId="0" borderId="0"/>
  </cellStyleXfs>
  <cellXfs count="100">
    <xf numFmtId="0" fontId="0" fillId="0" borderId="0" xfId="0"/>
    <xf numFmtId="0" fontId="26" fillId="8"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29" fillId="6" borderId="2" xfId="0" applyFont="1" applyFill="1" applyBorder="1" applyAlignment="1">
      <alignment horizontal="left" vertical="center" wrapText="1"/>
    </xf>
    <xf numFmtId="0" fontId="29" fillId="5" borderId="2" xfId="0" applyFont="1" applyFill="1" applyBorder="1" applyAlignment="1">
      <alignment horizontal="left" vertical="center" wrapText="1"/>
    </xf>
    <xf numFmtId="0" fontId="28" fillId="12" borderId="1"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7" fillId="5" borderId="2"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1" fillId="1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14" fillId="9" borderId="2" xfId="0" applyFont="1" applyFill="1" applyBorder="1" applyAlignment="1">
      <alignment horizontal="left" vertical="center" wrapText="1"/>
    </xf>
    <xf numFmtId="0" fontId="15" fillId="10" borderId="2" xfId="0" applyFont="1" applyFill="1" applyBorder="1" applyAlignment="1">
      <alignment horizontal="left" vertical="center" wrapText="1"/>
    </xf>
    <xf numFmtId="0" fontId="16" fillId="10" borderId="2" xfId="0" applyFont="1" applyFill="1" applyBorder="1" applyAlignment="1">
      <alignment horizontal="left" vertical="center" wrapText="1"/>
    </xf>
    <xf numFmtId="0" fontId="17" fillId="11" borderId="2" xfId="0" applyFont="1" applyFill="1" applyBorder="1" applyAlignment="1">
      <alignment horizontal="left" vertical="center" wrapText="1"/>
    </xf>
    <xf numFmtId="0" fontId="18" fillId="11" borderId="2" xfId="0" applyFont="1" applyFill="1" applyBorder="1" applyAlignment="1">
      <alignment horizontal="left" vertical="center" wrapText="1"/>
    </xf>
    <xf numFmtId="0" fontId="19" fillId="12" borderId="2" xfId="0" applyFont="1" applyFill="1" applyBorder="1" applyAlignment="1">
      <alignment horizontal="left" vertical="center" wrapText="1"/>
    </xf>
    <xf numFmtId="0" fontId="20" fillId="1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23" fillId="4" borderId="2" xfId="0" applyFont="1" applyFill="1" applyBorder="1" applyAlignment="1">
      <alignment horizontal="left" vertical="center" wrapText="1"/>
    </xf>
    <xf numFmtId="0" fontId="24" fillId="6" borderId="2" xfId="0" applyFont="1" applyFill="1" applyBorder="1" applyAlignment="1">
      <alignment horizontal="center" vertical="center" wrapText="1"/>
    </xf>
    <xf numFmtId="1" fontId="24" fillId="6" borderId="2" xfId="0" applyNumberFormat="1" applyFont="1" applyFill="1" applyBorder="1" applyAlignment="1">
      <alignment horizontal="center" vertical="center" wrapText="1"/>
    </xf>
    <xf numFmtId="164" fontId="25" fillId="7" borderId="3" xfId="0" applyNumberFormat="1" applyFont="1" applyFill="1" applyBorder="1" applyAlignment="1">
      <alignment horizontal="center" vertical="center" wrapText="1"/>
    </xf>
    <xf numFmtId="0" fontId="25" fillId="7" borderId="3" xfId="0" applyFont="1" applyFill="1" applyBorder="1" applyAlignment="1">
      <alignment horizontal="center" vertical="center" wrapText="1"/>
    </xf>
    <xf numFmtId="0" fontId="24" fillId="6" borderId="2" xfId="0" applyFont="1" applyFill="1" applyBorder="1" applyAlignment="1">
      <alignment horizontal="left" vertical="center" wrapText="1"/>
    </xf>
    <xf numFmtId="0" fontId="24" fillId="5" borderId="2" xfId="0" applyFont="1" applyFill="1" applyBorder="1" applyAlignment="1">
      <alignment horizontal="center" vertical="center" wrapText="1"/>
    </xf>
    <xf numFmtId="1" fontId="24" fillId="5" borderId="2" xfId="0" applyNumberFormat="1" applyFont="1" applyFill="1" applyBorder="1" applyAlignment="1">
      <alignment horizontal="center" vertical="center" wrapText="1"/>
    </xf>
    <xf numFmtId="0" fontId="24" fillId="5" borderId="2" xfId="0" applyFont="1" applyFill="1" applyBorder="1" applyAlignment="1">
      <alignment horizontal="left" vertical="center" wrapText="1"/>
    </xf>
    <xf numFmtId="0" fontId="26" fillId="8" borderId="2" xfId="0" applyFont="1" applyFill="1" applyBorder="1" applyAlignment="1">
      <alignment horizontal="left" vertical="center" wrapText="1"/>
    </xf>
    <xf numFmtId="0" fontId="12" fillId="8" borderId="3" xfId="0" applyFont="1" applyFill="1" applyBorder="1" applyAlignment="1">
      <alignment horizontal="center" vertical="center" wrapText="1"/>
    </xf>
    <xf numFmtId="0" fontId="30" fillId="4"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16" fillId="10" borderId="2"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17" fillId="11" borderId="2" xfId="0" applyFont="1" applyFill="1" applyBorder="1" applyAlignment="1">
      <alignment horizontal="center" vertical="center" wrapText="1"/>
    </xf>
    <xf numFmtId="0" fontId="31" fillId="7" borderId="2" xfId="0" applyFont="1" applyFill="1" applyBorder="1" applyAlignment="1">
      <alignment horizontal="left" vertical="center" wrapText="1"/>
    </xf>
    <xf numFmtId="0" fontId="32" fillId="3" borderId="2" xfId="0" applyFont="1" applyFill="1" applyBorder="1" applyAlignment="1">
      <alignment horizontal="center" vertical="center" wrapText="1"/>
    </xf>
    <xf numFmtId="0" fontId="32" fillId="3" borderId="2" xfId="0" applyFont="1" applyFill="1" applyBorder="1" applyAlignment="1">
      <alignment horizontal="left" vertical="center" wrapText="1"/>
    </xf>
    <xf numFmtId="0" fontId="32" fillId="14" borderId="2" xfId="0" applyFont="1" applyFill="1" applyBorder="1" applyAlignment="1">
      <alignment horizontal="left" vertical="center" wrapText="1"/>
    </xf>
    <xf numFmtId="0" fontId="6" fillId="14" borderId="2" xfId="0" applyFont="1" applyFill="1" applyBorder="1" applyAlignment="1">
      <alignment horizontal="left" vertical="center" wrapText="1"/>
    </xf>
    <xf numFmtId="0" fontId="32" fillId="17" borderId="2" xfId="0" applyFont="1" applyFill="1" applyBorder="1" applyAlignment="1">
      <alignment horizontal="left" vertical="center" wrapText="1"/>
    </xf>
    <xf numFmtId="0" fontId="6" fillId="17" borderId="2" xfId="0" applyFont="1" applyFill="1" applyBorder="1" applyAlignment="1">
      <alignment horizontal="left" vertical="center" wrapText="1"/>
    </xf>
    <xf numFmtId="0" fontId="32" fillId="16" borderId="2" xfId="0" applyFont="1" applyFill="1" applyBorder="1" applyAlignment="1">
      <alignment horizontal="left" vertical="center" wrapText="1"/>
    </xf>
    <xf numFmtId="0" fontId="6" fillId="16" borderId="2" xfId="0" applyFont="1" applyFill="1" applyBorder="1" applyAlignment="1">
      <alignment horizontal="left" vertical="center" wrapText="1"/>
    </xf>
    <xf numFmtId="0" fontId="33" fillId="6" borderId="2" xfId="0" applyFont="1" applyFill="1" applyBorder="1" applyAlignment="1">
      <alignment horizontal="left" vertical="center" wrapText="1"/>
    </xf>
    <xf numFmtId="0" fontId="33" fillId="5" borderId="2" xfId="0" applyFont="1" applyFill="1" applyBorder="1" applyAlignment="1">
      <alignment horizontal="left" vertical="center" wrapText="1"/>
    </xf>
    <xf numFmtId="0" fontId="34" fillId="9" borderId="2" xfId="0" applyFont="1" applyFill="1" applyBorder="1" applyAlignment="1">
      <alignment horizontal="left" vertical="center" wrapText="1"/>
    </xf>
    <xf numFmtId="0" fontId="35" fillId="9" borderId="2" xfId="0" applyFont="1" applyFill="1" applyBorder="1" applyAlignment="1">
      <alignment horizontal="left" vertical="center" wrapText="1"/>
    </xf>
    <xf numFmtId="0" fontId="36" fillId="8" borderId="2"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24" fillId="9" borderId="1" xfId="0" applyFont="1" applyFill="1" applyBorder="1" applyAlignment="1">
      <alignment horizontal="left" vertical="center" wrapText="1"/>
    </xf>
    <xf numFmtId="0" fontId="24" fillId="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17" fillId="11"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24" fillId="6" borderId="2" xfId="0" applyFont="1" applyFill="1" applyBorder="1" applyAlignment="1">
      <alignment horizontal="left" vertical="center" wrapText="1"/>
    </xf>
    <xf numFmtId="0" fontId="24" fillId="5" borderId="2" xfId="0" applyFont="1" applyFill="1" applyBorder="1" applyAlignment="1">
      <alignment horizontal="left" vertical="center" wrapText="1"/>
    </xf>
    <xf numFmtId="0" fontId="0" fillId="0" borderId="0" xfId="0" pivotButton="1"/>
    <xf numFmtId="0" fontId="0" fillId="0" borderId="0" xfId="0" applyAlignment="1">
      <alignment horizontal="left"/>
    </xf>
    <xf numFmtId="1" fontId="0" fillId="0" borderId="0" xfId="0" applyNumberFormat="1"/>
    <xf numFmtId="0" fontId="37" fillId="18" borderId="0" xfId="0" applyFont="1" applyFill="1" applyAlignment="1"/>
    <xf numFmtId="0" fontId="0" fillId="18" borderId="0" xfId="0" applyFill="1" applyAlignment="1"/>
    <xf numFmtId="0" fontId="38" fillId="5" borderId="2" xfId="0" applyFont="1" applyFill="1" applyBorder="1" applyAlignment="1">
      <alignment horizontal="left" vertical="center" wrapText="1"/>
    </xf>
    <xf numFmtId="0" fontId="40" fillId="18" borderId="0" xfId="0" applyFont="1" applyFill="1" applyAlignment="1">
      <alignment horizontal="center"/>
    </xf>
    <xf numFmtId="0" fontId="38" fillId="6" borderId="2" xfId="0" applyFont="1" applyFill="1" applyBorder="1" applyAlignment="1">
      <alignment horizontal="left" vertical="center" wrapText="1"/>
    </xf>
    <xf numFmtId="0" fontId="39" fillId="0" borderId="0" xfId="0" applyFont="1"/>
    <xf numFmtId="0" fontId="40" fillId="20" borderId="0" xfId="0" applyFont="1" applyFill="1" applyAlignment="1">
      <alignment horizontal="center"/>
    </xf>
    <xf numFmtId="0" fontId="41" fillId="0" borderId="0" xfId="0" applyFont="1"/>
    <xf numFmtId="0" fontId="40" fillId="19" borderId="0" xfId="0" applyFont="1" applyFill="1" applyAlignment="1">
      <alignment horizontal="center"/>
    </xf>
    <xf numFmtId="0" fontId="42" fillId="7" borderId="2" xfId="0" applyFont="1" applyFill="1" applyBorder="1" applyAlignment="1">
      <alignment horizontal="left" vertical="center" wrapText="1"/>
    </xf>
  </cellXfs>
  <cellStyles count="2">
    <cellStyle name="Normal" xfId="0" builtinId="0"/>
    <cellStyle name="Normal 2" xfId="1" xr:uid="{8E9B544B-34CB-46BC-B7C7-3E153F678A8F}"/>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5803D"/>
      <rgbColor rgb="FF000080"/>
      <rgbColor rgb="FF766E22"/>
      <rgbColor rgb="FF6D28D9"/>
      <rgbColor rgb="FF0F766E"/>
      <rgbColor rgb="FFBBBBBB"/>
      <rgbColor rgb="FF9C6500"/>
      <rgbColor rgb="FF9999FF"/>
      <rgbColor rgb="FFC2410C"/>
      <rgbColor rgb="FFFFF9C4"/>
      <rgbColor rgb="FFDCFCE7"/>
      <rgbColor rgb="FF660066"/>
      <rgbColor rgb="FFFF8080"/>
      <rgbColor rgb="FF0066CC"/>
      <rgbColor rgb="FFFEE2E2"/>
      <rgbColor rgb="FF000080"/>
      <rgbColor rgb="FFFF00FF"/>
      <rgbColor rgb="FFFFFF00"/>
      <rgbColor rgb="FF00FFFF"/>
      <rgbColor rgb="FF800080"/>
      <rgbColor rgb="FF991B1B"/>
      <rgbColor rgb="FF008080"/>
      <rgbColor rgb="FF0000FF"/>
      <rgbColor rgb="FF00CCFF"/>
      <rgbColor rgb="FFEBF5FB"/>
      <rgbColor rgb="FFC6EFCE"/>
      <rgbColor rgb="FFFFEB9C"/>
      <rgbColor rgb="FFEEF3F9"/>
      <rgbColor rgb="FFEFF6FF"/>
      <rgbColor rgb="FFCC99FF"/>
      <rgbColor rgb="FFFFC7CE"/>
      <rgbColor rgb="FF3366FF"/>
      <rgbColor rgb="FF33CCCC"/>
      <rgbColor rgb="FF99CC00"/>
      <rgbColor rgb="FFFFCC00"/>
      <rgbColor rgb="FFFF9900"/>
      <rgbColor rgb="FFFF6600"/>
      <rgbColor rgb="FF555555"/>
      <rgbColor rgb="FF969696"/>
      <rgbColor rgb="FF1E3A5F"/>
      <rgbColor rgb="FF339966"/>
      <rgbColor rgb="FF003300"/>
      <rgbColor rgb="FF276221"/>
      <rgbColor rgb="FF92400E"/>
      <rgbColor rgb="FF993366"/>
      <rgbColor rgb="FF1E40AF"/>
      <rgbColor rgb="FF1F4E79"/>
      <rgbColor rgb="00003366"/>
      <rgbColor rgb="00339966"/>
      <rgbColor rgb="00003300"/>
      <rgbColor rgb="00333300"/>
      <rgbColor rgb="00993300"/>
      <rgbColor rgb="00993366"/>
      <rgbColor rgb="00333399"/>
      <rgbColor rgb="00333333"/>
    </indexedColors>
    <mruColors>
      <color rgb="FF991B1B"/>
      <color rgb="FF1580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[KPI_Slicers_Dashboard_Practice_12.xlsx]PT_Training!PivotTable3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PT_Training!$B$3:$B$4</c:f>
              <c:strCache>
                <c:ptCount val="1"/>
                <c:pt idx="0">
                  <c:v>Compliance</c:v>
                </c:pt>
              </c:strCache>
            </c:strRef>
          </c:tx>
          <c:spPr>
            <a:solidFill>
              <a:schemeClr val="accent1"/>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PT_Training!$B$5:$B$10</c:f>
              <c:numCache>
                <c:formatCode>0</c:formatCode>
                <c:ptCount val="5"/>
                <c:pt idx="0">
                  <c:v>99</c:v>
                </c:pt>
                <c:pt idx="1">
                  <c:v>128</c:v>
                </c:pt>
                <c:pt idx="2">
                  <c:v>135</c:v>
                </c:pt>
                <c:pt idx="3">
                  <c:v>129</c:v>
                </c:pt>
                <c:pt idx="4">
                  <c:v>141</c:v>
                </c:pt>
              </c:numCache>
            </c:numRef>
          </c:val>
          <c:extLst>
            <c:ext xmlns:c16="http://schemas.microsoft.com/office/drawing/2014/chart" uri="{C3380CC4-5D6E-409C-BE32-E72D297353CC}">
              <c16:uniqueId val="{00000000-6A4F-4001-BFDA-990E82773381}"/>
            </c:ext>
          </c:extLst>
        </c:ser>
        <c:ser>
          <c:idx val="1"/>
          <c:order val="1"/>
          <c:tx>
            <c:strRef>
              <c:f>PT_Training!$C$3:$C$4</c:f>
              <c:strCache>
                <c:ptCount val="1"/>
                <c:pt idx="0">
                  <c:v>Leadership</c:v>
                </c:pt>
              </c:strCache>
            </c:strRef>
          </c:tx>
          <c:spPr>
            <a:solidFill>
              <a:schemeClr val="accent2"/>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PT_Training!$C$5:$C$10</c:f>
              <c:numCache>
                <c:formatCode>0</c:formatCode>
                <c:ptCount val="5"/>
                <c:pt idx="0">
                  <c:v>212</c:v>
                </c:pt>
                <c:pt idx="1">
                  <c:v>192</c:v>
                </c:pt>
                <c:pt idx="2">
                  <c:v>165</c:v>
                </c:pt>
                <c:pt idx="3">
                  <c:v>177</c:v>
                </c:pt>
                <c:pt idx="4">
                  <c:v>140</c:v>
                </c:pt>
              </c:numCache>
            </c:numRef>
          </c:val>
          <c:extLst>
            <c:ext xmlns:c16="http://schemas.microsoft.com/office/drawing/2014/chart" uri="{C3380CC4-5D6E-409C-BE32-E72D297353CC}">
              <c16:uniqueId val="{00000001-6A4F-4001-BFDA-990E82773381}"/>
            </c:ext>
          </c:extLst>
        </c:ser>
        <c:ser>
          <c:idx val="2"/>
          <c:order val="2"/>
          <c:tx>
            <c:strRef>
              <c:f>PT_Training!$D$3:$D$4</c:f>
              <c:strCache>
                <c:ptCount val="1"/>
                <c:pt idx="0">
                  <c:v>Onboarding</c:v>
                </c:pt>
              </c:strCache>
            </c:strRef>
          </c:tx>
          <c:spPr>
            <a:solidFill>
              <a:schemeClr val="accent3"/>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PT_Training!$D$5:$D$10</c:f>
              <c:numCache>
                <c:formatCode>0</c:formatCode>
                <c:ptCount val="5"/>
                <c:pt idx="0">
                  <c:v>147</c:v>
                </c:pt>
                <c:pt idx="1">
                  <c:v>111</c:v>
                </c:pt>
                <c:pt idx="2">
                  <c:v>159</c:v>
                </c:pt>
                <c:pt idx="3">
                  <c:v>141</c:v>
                </c:pt>
                <c:pt idx="4">
                  <c:v>153</c:v>
                </c:pt>
              </c:numCache>
            </c:numRef>
          </c:val>
          <c:extLst>
            <c:ext xmlns:c16="http://schemas.microsoft.com/office/drawing/2014/chart" uri="{C3380CC4-5D6E-409C-BE32-E72D297353CC}">
              <c16:uniqueId val="{00000002-6A4F-4001-BFDA-990E82773381}"/>
            </c:ext>
          </c:extLst>
        </c:ser>
        <c:ser>
          <c:idx val="3"/>
          <c:order val="3"/>
          <c:tx>
            <c:strRef>
              <c:f>PT_Training!$E$3:$E$4</c:f>
              <c:strCache>
                <c:ptCount val="1"/>
                <c:pt idx="0">
                  <c:v>Skill Development</c:v>
                </c:pt>
              </c:strCache>
            </c:strRef>
          </c:tx>
          <c:spPr>
            <a:solidFill>
              <a:schemeClr val="accent4"/>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PT_Training!$E$5:$E$10</c:f>
              <c:numCache>
                <c:formatCode>0</c:formatCode>
                <c:ptCount val="5"/>
                <c:pt idx="0">
                  <c:v>177</c:v>
                </c:pt>
                <c:pt idx="1">
                  <c:v>135</c:v>
                </c:pt>
                <c:pt idx="2">
                  <c:v>183</c:v>
                </c:pt>
                <c:pt idx="3">
                  <c:v>260</c:v>
                </c:pt>
                <c:pt idx="4">
                  <c:v>177</c:v>
                </c:pt>
              </c:numCache>
            </c:numRef>
          </c:val>
          <c:extLst>
            <c:ext xmlns:c16="http://schemas.microsoft.com/office/drawing/2014/chart" uri="{C3380CC4-5D6E-409C-BE32-E72D297353CC}">
              <c16:uniqueId val="{00000005-6A4F-4001-BFDA-990E82773381}"/>
            </c:ext>
          </c:extLst>
        </c:ser>
        <c:dLbls>
          <c:showLegendKey val="0"/>
          <c:showVal val="0"/>
          <c:showCatName val="0"/>
          <c:showSerName val="0"/>
          <c:showPercent val="0"/>
          <c:showBubbleSize val="0"/>
        </c:dLbls>
        <c:gapWidth val="182"/>
        <c:axId val="1029697231"/>
        <c:axId val="1039746543"/>
      </c:barChart>
      <c:catAx>
        <c:axId val="102969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46543"/>
        <c:crosses val="autoZero"/>
        <c:auto val="1"/>
        <c:lblAlgn val="ctr"/>
        <c:lblOffset val="100"/>
        <c:noMultiLvlLbl val="0"/>
      </c:catAx>
      <c:valAx>
        <c:axId val="1039746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9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[KPI_Slicers_Dashboard_Practice_12.xlsx]PT_Monthly!PivotTable4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PT_Monthly!$A$4:$A$10</c:f>
              <c:strCache>
                <c:ptCount val="6"/>
                <c:pt idx="0">
                  <c:v>Jan</c:v>
                </c:pt>
                <c:pt idx="1">
                  <c:v>Feb</c:v>
                </c:pt>
                <c:pt idx="2">
                  <c:v>Mar</c:v>
                </c:pt>
                <c:pt idx="3">
                  <c:v>Apr</c:v>
                </c:pt>
                <c:pt idx="4">
                  <c:v>May</c:v>
                </c:pt>
                <c:pt idx="5">
                  <c:v>Jun</c:v>
                </c:pt>
              </c:strCache>
            </c:strRef>
          </c:cat>
          <c:val>
            <c:numRef>
              <c:f>PT_Monthly!$B$4:$B$10</c:f>
              <c:numCache>
                <c:formatCode>0</c:formatCode>
                <c:ptCount val="6"/>
                <c:pt idx="0">
                  <c:v>481</c:v>
                </c:pt>
                <c:pt idx="1">
                  <c:v>502</c:v>
                </c:pt>
                <c:pt idx="2">
                  <c:v>523</c:v>
                </c:pt>
                <c:pt idx="3">
                  <c:v>543</c:v>
                </c:pt>
                <c:pt idx="4">
                  <c:v>561</c:v>
                </c:pt>
                <c:pt idx="5">
                  <c:v>551</c:v>
                </c:pt>
              </c:numCache>
            </c:numRef>
          </c:val>
          <c:smooth val="0"/>
          <c:extLst>
            <c:ext xmlns:c16="http://schemas.microsoft.com/office/drawing/2014/chart" uri="{C3380CC4-5D6E-409C-BE32-E72D297353CC}">
              <c16:uniqueId val="{00000000-41D2-4CB3-9F2D-322168EB09AC}"/>
            </c:ext>
          </c:extLst>
        </c:ser>
        <c:dLbls>
          <c:showLegendKey val="0"/>
          <c:showVal val="0"/>
          <c:showCatName val="0"/>
          <c:showSerName val="0"/>
          <c:showPercent val="0"/>
          <c:showBubbleSize val="0"/>
        </c:dLbls>
        <c:marker val="1"/>
        <c:smooth val="0"/>
        <c:axId val="1069962719"/>
        <c:axId val="1039771503"/>
      </c:lineChart>
      <c:catAx>
        <c:axId val="10699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1503"/>
        <c:crosses val="autoZero"/>
        <c:auto val="1"/>
        <c:lblAlgn val="ctr"/>
        <c:lblOffset val="100"/>
        <c:noMultiLvlLbl val="0"/>
      </c:catAx>
      <c:valAx>
        <c:axId val="1039771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9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[KPI_Slicers_Dashboard_Practice_12.xlsx]PT_Training!PivotTable3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Training Hours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PT_Training!$B$3:$B$4</c:f>
              <c:strCache>
                <c:ptCount val="1"/>
                <c:pt idx="0">
                  <c:v>Compliance</c:v>
                </c:pt>
              </c:strCache>
            </c:strRef>
          </c:tx>
          <c:spPr>
            <a:solidFill>
              <a:schemeClr val="accent1"/>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PT_Training!$B$5:$B$10</c:f>
              <c:numCache>
                <c:formatCode>0</c:formatCode>
                <c:ptCount val="5"/>
                <c:pt idx="0">
                  <c:v>99</c:v>
                </c:pt>
                <c:pt idx="1">
                  <c:v>128</c:v>
                </c:pt>
                <c:pt idx="2">
                  <c:v>135</c:v>
                </c:pt>
                <c:pt idx="3">
                  <c:v>129</c:v>
                </c:pt>
                <c:pt idx="4">
                  <c:v>141</c:v>
                </c:pt>
              </c:numCache>
            </c:numRef>
          </c:val>
          <c:extLst>
            <c:ext xmlns:c16="http://schemas.microsoft.com/office/drawing/2014/chart" uri="{C3380CC4-5D6E-409C-BE32-E72D297353CC}">
              <c16:uniqueId val="{00000000-DD9E-4C00-A1D4-84AB477CFB34}"/>
            </c:ext>
          </c:extLst>
        </c:ser>
        <c:ser>
          <c:idx val="1"/>
          <c:order val="1"/>
          <c:tx>
            <c:strRef>
              <c:f>PT_Training!$C$3:$C$4</c:f>
              <c:strCache>
                <c:ptCount val="1"/>
                <c:pt idx="0">
                  <c:v>Leadership</c:v>
                </c:pt>
              </c:strCache>
            </c:strRef>
          </c:tx>
          <c:spPr>
            <a:solidFill>
              <a:schemeClr val="accent2"/>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PT_Training!$C$5:$C$10</c:f>
              <c:numCache>
                <c:formatCode>0</c:formatCode>
                <c:ptCount val="5"/>
                <c:pt idx="0">
                  <c:v>212</c:v>
                </c:pt>
                <c:pt idx="1">
                  <c:v>192</c:v>
                </c:pt>
                <c:pt idx="2">
                  <c:v>165</c:v>
                </c:pt>
                <c:pt idx="3">
                  <c:v>177</c:v>
                </c:pt>
                <c:pt idx="4">
                  <c:v>140</c:v>
                </c:pt>
              </c:numCache>
            </c:numRef>
          </c:val>
          <c:extLst>
            <c:ext xmlns:c16="http://schemas.microsoft.com/office/drawing/2014/chart" uri="{C3380CC4-5D6E-409C-BE32-E72D297353CC}">
              <c16:uniqueId val="{00000001-DD9E-4C00-A1D4-84AB477CFB34}"/>
            </c:ext>
          </c:extLst>
        </c:ser>
        <c:ser>
          <c:idx val="2"/>
          <c:order val="2"/>
          <c:tx>
            <c:strRef>
              <c:f>PT_Training!$D$3:$D$4</c:f>
              <c:strCache>
                <c:ptCount val="1"/>
                <c:pt idx="0">
                  <c:v>Onboarding</c:v>
                </c:pt>
              </c:strCache>
            </c:strRef>
          </c:tx>
          <c:spPr>
            <a:solidFill>
              <a:schemeClr val="accent3"/>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PT_Training!$D$5:$D$10</c:f>
              <c:numCache>
                <c:formatCode>0</c:formatCode>
                <c:ptCount val="5"/>
                <c:pt idx="0">
                  <c:v>147</c:v>
                </c:pt>
                <c:pt idx="1">
                  <c:v>111</c:v>
                </c:pt>
                <c:pt idx="2">
                  <c:v>159</c:v>
                </c:pt>
                <c:pt idx="3">
                  <c:v>141</c:v>
                </c:pt>
                <c:pt idx="4">
                  <c:v>153</c:v>
                </c:pt>
              </c:numCache>
            </c:numRef>
          </c:val>
          <c:extLst>
            <c:ext xmlns:c16="http://schemas.microsoft.com/office/drawing/2014/chart" uri="{C3380CC4-5D6E-409C-BE32-E72D297353CC}">
              <c16:uniqueId val="{00000002-DD9E-4C00-A1D4-84AB477CFB34}"/>
            </c:ext>
          </c:extLst>
        </c:ser>
        <c:ser>
          <c:idx val="3"/>
          <c:order val="3"/>
          <c:tx>
            <c:strRef>
              <c:f>PT_Training!$E$3:$E$4</c:f>
              <c:strCache>
                <c:ptCount val="1"/>
                <c:pt idx="0">
                  <c:v>Skill Development</c:v>
                </c:pt>
              </c:strCache>
            </c:strRef>
          </c:tx>
          <c:spPr>
            <a:solidFill>
              <a:schemeClr val="accent4"/>
            </a:solidFill>
            <a:ln>
              <a:noFill/>
            </a:ln>
            <a:effectLst/>
          </c:spPr>
          <c:invertIfNegative val="0"/>
          <c:cat>
            <c:strRef>
              <c:f>PT_Training!$A$5:$A$10</c:f>
              <c:strCache>
                <c:ptCount val="5"/>
                <c:pt idx="0">
                  <c:v>HR</c:v>
                </c:pt>
                <c:pt idx="1">
                  <c:v>Finance</c:v>
                </c:pt>
                <c:pt idx="2">
                  <c:v>Marketing</c:v>
                </c:pt>
                <c:pt idx="3">
                  <c:v>IT</c:v>
                </c:pt>
                <c:pt idx="4">
                  <c:v>Operations</c:v>
                </c:pt>
              </c:strCache>
            </c:strRef>
          </c:cat>
          <c:val>
            <c:numRef>
              <c:f>PT_Training!$E$5:$E$10</c:f>
              <c:numCache>
                <c:formatCode>0</c:formatCode>
                <c:ptCount val="5"/>
                <c:pt idx="0">
                  <c:v>177</c:v>
                </c:pt>
                <c:pt idx="1">
                  <c:v>135</c:v>
                </c:pt>
                <c:pt idx="2">
                  <c:v>183</c:v>
                </c:pt>
                <c:pt idx="3">
                  <c:v>260</c:v>
                </c:pt>
                <c:pt idx="4">
                  <c:v>177</c:v>
                </c:pt>
              </c:numCache>
            </c:numRef>
          </c:val>
          <c:extLst>
            <c:ext xmlns:c16="http://schemas.microsoft.com/office/drawing/2014/chart" uri="{C3380CC4-5D6E-409C-BE32-E72D297353CC}">
              <c16:uniqueId val="{00000003-DD9E-4C00-A1D4-84AB477CFB34}"/>
            </c:ext>
          </c:extLst>
        </c:ser>
        <c:dLbls>
          <c:showLegendKey val="0"/>
          <c:showVal val="0"/>
          <c:showCatName val="0"/>
          <c:showSerName val="0"/>
          <c:showPercent val="0"/>
          <c:showBubbleSize val="0"/>
        </c:dLbls>
        <c:gapWidth val="182"/>
        <c:axId val="1029697231"/>
        <c:axId val="1039746543"/>
      </c:barChart>
      <c:catAx>
        <c:axId val="102969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46543"/>
        <c:crosses val="autoZero"/>
        <c:auto val="1"/>
        <c:lblAlgn val="ctr"/>
        <c:lblOffset val="100"/>
        <c:noMultiLvlLbl val="0"/>
      </c:catAx>
      <c:valAx>
        <c:axId val="1039746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9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[KPI_Slicers_Dashboard_Practice_12.xlsx]PT_Monthly!PivotTable4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Training Hours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PT_Monthly!$A$4:$A$10</c:f>
              <c:strCache>
                <c:ptCount val="6"/>
                <c:pt idx="0">
                  <c:v>Jan</c:v>
                </c:pt>
                <c:pt idx="1">
                  <c:v>Feb</c:v>
                </c:pt>
                <c:pt idx="2">
                  <c:v>Mar</c:v>
                </c:pt>
                <c:pt idx="3">
                  <c:v>Apr</c:v>
                </c:pt>
                <c:pt idx="4">
                  <c:v>May</c:v>
                </c:pt>
                <c:pt idx="5">
                  <c:v>Jun</c:v>
                </c:pt>
              </c:strCache>
            </c:strRef>
          </c:cat>
          <c:val>
            <c:numRef>
              <c:f>PT_Monthly!$B$4:$B$10</c:f>
              <c:numCache>
                <c:formatCode>0</c:formatCode>
                <c:ptCount val="6"/>
                <c:pt idx="0">
                  <c:v>481</c:v>
                </c:pt>
                <c:pt idx="1">
                  <c:v>502</c:v>
                </c:pt>
                <c:pt idx="2">
                  <c:v>523</c:v>
                </c:pt>
                <c:pt idx="3">
                  <c:v>543</c:v>
                </c:pt>
                <c:pt idx="4">
                  <c:v>561</c:v>
                </c:pt>
                <c:pt idx="5">
                  <c:v>551</c:v>
                </c:pt>
              </c:numCache>
            </c:numRef>
          </c:val>
          <c:smooth val="0"/>
          <c:extLst>
            <c:ext xmlns:c16="http://schemas.microsoft.com/office/drawing/2014/chart" uri="{C3380CC4-5D6E-409C-BE32-E72D297353CC}">
              <c16:uniqueId val="{00000000-F440-481A-AE71-199A52C2DBE8}"/>
            </c:ext>
          </c:extLst>
        </c:ser>
        <c:dLbls>
          <c:showLegendKey val="0"/>
          <c:showVal val="0"/>
          <c:showCatName val="0"/>
          <c:showSerName val="0"/>
          <c:showPercent val="0"/>
          <c:showBubbleSize val="0"/>
        </c:dLbls>
        <c:marker val="1"/>
        <c:smooth val="0"/>
        <c:axId val="1069962719"/>
        <c:axId val="1039771503"/>
      </c:lineChart>
      <c:catAx>
        <c:axId val="10699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71503"/>
        <c:crosses val="autoZero"/>
        <c:auto val="1"/>
        <c:lblAlgn val="ctr"/>
        <c:lblOffset val="100"/>
        <c:noMultiLvlLbl val="0"/>
      </c:catAx>
      <c:valAx>
        <c:axId val="1039771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9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771525</xdr:colOff>
      <xdr:row>10</xdr:row>
      <xdr:rowOff>90487</xdr:rowOff>
    </xdr:from>
    <xdr:to>
      <xdr:col>5</xdr:col>
      <xdr:colOff>457200</xdr:colOff>
      <xdr:row>24</xdr:row>
      <xdr:rowOff>166687</xdr:rowOff>
    </xdr:to>
    <xdr:graphicFrame macro="">
      <xdr:nvGraphicFramePr>
        <xdr:cNvPr id="4" name="Chart 3">
          <a:extLst>
            <a:ext uri="{FF2B5EF4-FFF2-40B4-BE49-F238E27FC236}">
              <a16:creationId xmlns:a16="http://schemas.microsoft.com/office/drawing/2014/main" id="{298AC036-DAB5-28F7-B8F5-1D33FDB49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457200</xdr:colOff>
      <xdr:row>4</xdr:row>
      <xdr:rowOff>47625</xdr:rowOff>
    </xdr:from>
    <xdr:to>
      <xdr:col>7</xdr:col>
      <xdr:colOff>457200</xdr:colOff>
      <xdr:row>17</xdr:row>
      <xdr:rowOff>95250</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01FE4746-525B-B93C-2F7F-7D685E60468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819525" y="80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333375</xdr:colOff>
      <xdr:row>3</xdr:row>
      <xdr:rowOff>90487</xdr:rowOff>
    </xdr:from>
    <xdr:to>
      <xdr:col>10</xdr:col>
      <xdr:colOff>28575</xdr:colOff>
      <xdr:row>17</xdr:row>
      <xdr:rowOff>166687</xdr:rowOff>
    </xdr:to>
    <xdr:graphicFrame macro="">
      <xdr:nvGraphicFramePr>
        <xdr:cNvPr id="3" name="Chart 2">
          <a:extLst>
            <a:ext uri="{FF2B5EF4-FFF2-40B4-BE49-F238E27FC236}">
              <a16:creationId xmlns:a16="http://schemas.microsoft.com/office/drawing/2014/main" id="{0E8AD5F6-C634-F72B-AA17-11102C7F8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6</xdr:row>
      <xdr:rowOff>9525</xdr:rowOff>
    </xdr:from>
    <xdr:to>
      <xdr:col>5</xdr:col>
      <xdr:colOff>590550</xdr:colOff>
      <xdr:row>17</xdr:row>
      <xdr:rowOff>142875</xdr:rowOff>
    </xdr:to>
    <xdr:graphicFrame macro="">
      <xdr:nvGraphicFramePr>
        <xdr:cNvPr id="2" name="Chart 1">
          <a:extLst>
            <a:ext uri="{FF2B5EF4-FFF2-40B4-BE49-F238E27FC236}">
              <a16:creationId xmlns:a16="http://schemas.microsoft.com/office/drawing/2014/main" id="{B3186433-6967-4BE2-B693-74521E1FA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xdr:row>
      <xdr:rowOff>0</xdr:rowOff>
    </xdr:from>
    <xdr:to>
      <xdr:col>13</xdr:col>
      <xdr:colOff>0</xdr:colOff>
      <xdr:row>17</xdr:row>
      <xdr:rowOff>133350</xdr:rowOff>
    </xdr:to>
    <xdr:graphicFrame macro="">
      <xdr:nvGraphicFramePr>
        <xdr:cNvPr id="3" name="Chart 2">
          <a:extLst>
            <a:ext uri="{FF2B5EF4-FFF2-40B4-BE49-F238E27FC236}">
              <a16:creationId xmlns:a16="http://schemas.microsoft.com/office/drawing/2014/main" id="{22A06B97-FEE7-44A2-AEEA-13C293A8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257176</xdr:colOff>
      <xdr:row>0</xdr:row>
      <xdr:rowOff>0</xdr:rowOff>
    </xdr:from>
    <xdr:to>
      <xdr:col>10</xdr:col>
      <xdr:colOff>180975</xdr:colOff>
      <xdr:row>5</xdr:row>
      <xdr:rowOff>28575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E3566D75-B614-4A35-AB06-FD12A783CFB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133976" y="0"/>
              <a:ext cx="1142999"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247651</xdr:colOff>
      <xdr:row>0</xdr:row>
      <xdr:rowOff>0</xdr:rowOff>
    </xdr:from>
    <xdr:to>
      <xdr:col>12</xdr:col>
      <xdr:colOff>285750</xdr:colOff>
      <xdr:row>5</xdr:row>
      <xdr:rowOff>28575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8D772A58-5820-43F3-855A-D4B3FCA6C22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43651" y="0"/>
              <a:ext cx="1257299"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6.798402546294" createdVersion="8" refreshedVersion="8" minRefreshableVersion="3" recordCount="119" xr:uid="{8A6E95D0-9DB2-443A-855A-3F6E23838928}">
  <cacheSource type="worksheet">
    <worksheetSource name="TrainingData"/>
  </cacheSource>
  <cacheFields count="8">
    <cacheField name="Employee ID" numFmtId="0">
      <sharedItems/>
    </cacheField>
    <cacheField name="Department" numFmtId="0">
      <sharedItems count="5">
        <s v="HR"/>
        <s v="Finance"/>
        <s v="IT"/>
        <s v="Marketing"/>
        <s v="Operations"/>
      </sharedItems>
    </cacheField>
    <cacheField name="Training Type" numFmtId="0">
      <sharedItems count="4">
        <s v="Onboarding"/>
        <s v="Skill Development"/>
        <s v="Compliance"/>
        <s v="Leadership"/>
      </sharedItems>
    </cacheField>
    <cacheField name="Month" numFmtId="0">
      <sharedItems count="6">
        <s v="Jan"/>
        <s v="Feb"/>
        <s v="Mar"/>
        <s v="Apr"/>
        <s v="May"/>
        <s v="Jun"/>
      </sharedItems>
    </cacheField>
    <cacheField name="Target Hours" numFmtId="1">
      <sharedItems containsSemiMixedTypes="0" containsString="0" containsNumber="1" containsInteger="1" minValue="15" maxValue="40"/>
    </cacheField>
    <cacheField name="Actual Hours" numFmtId="1">
      <sharedItems containsSemiMixedTypes="0" containsString="0" containsNumber="1" containsInteger="1" minValue="14" maxValue="46"/>
    </cacheField>
    <cacheField name="Achievement %" numFmtId="164">
      <sharedItems containsSemiMixedTypes="0" containsString="0" containsNumber="1" minValue="72" maxValue="116.66666666666667"/>
    </cacheField>
    <cacheField name="Status" numFmtId="0">
      <sharedItems/>
    </cacheField>
  </cacheFields>
  <extLst>
    <ext xmlns:x14="http://schemas.microsoft.com/office/spreadsheetml/2009/9/main" uri="{725AE2AE-9491-48be-B2B4-4EB974FC3084}">
      <x14:pivotCacheDefinition pivotCacheId="567073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E001"/>
    <x v="0"/>
    <x v="0"/>
    <x v="0"/>
    <n v="20"/>
    <n v="22"/>
    <n v="110.00000000000001"/>
    <s v="On Track"/>
  </r>
  <r>
    <s v="E002"/>
    <x v="0"/>
    <x v="1"/>
    <x v="0"/>
    <n v="25"/>
    <n v="28"/>
    <n v="112.00000000000001"/>
    <s v="On Track"/>
  </r>
  <r>
    <s v="E003"/>
    <x v="0"/>
    <x v="2"/>
    <x v="0"/>
    <n v="15"/>
    <n v="14"/>
    <n v="93.333333333333329"/>
    <s v="Watch"/>
  </r>
  <r>
    <s v="E004"/>
    <x v="0"/>
    <x v="3"/>
    <x v="0"/>
    <n v="30"/>
    <n v="32"/>
    <n v="106.66666666666667"/>
    <s v="On Track"/>
  </r>
  <r>
    <s v="E005"/>
    <x v="1"/>
    <x v="0"/>
    <x v="0"/>
    <n v="18"/>
    <n v="16"/>
    <n v="88.888888888888886"/>
    <s v="Watch"/>
  </r>
  <r>
    <s v="E006"/>
    <x v="1"/>
    <x v="1"/>
    <x v="0"/>
    <n v="22"/>
    <n v="20"/>
    <n v="90.909090909090907"/>
    <s v="Watch"/>
  </r>
  <r>
    <s v="E007"/>
    <x v="1"/>
    <x v="2"/>
    <x v="0"/>
    <n v="25"/>
    <n v="18"/>
    <n v="72"/>
    <s v="Below Target"/>
  </r>
  <r>
    <s v="E008"/>
    <x v="1"/>
    <x v="3"/>
    <x v="0"/>
    <n v="28"/>
    <n v="30"/>
    <n v="107.14285714285714"/>
    <s v="On Track"/>
  </r>
  <r>
    <s v="E009"/>
    <x v="2"/>
    <x v="0"/>
    <x v="0"/>
    <n v="20"/>
    <n v="21"/>
    <n v="105"/>
    <s v="On Track"/>
  </r>
  <r>
    <s v="E010"/>
    <x v="2"/>
    <x v="1"/>
    <x v="0"/>
    <n v="35"/>
    <n v="40"/>
    <n v="114.28571428571428"/>
    <s v="On Track"/>
  </r>
  <r>
    <s v="E011"/>
    <x v="2"/>
    <x v="2"/>
    <x v="0"/>
    <n v="20"/>
    <n v="19"/>
    <n v="95"/>
    <s v="Watch"/>
  </r>
  <r>
    <s v="E012"/>
    <x v="2"/>
    <x v="3"/>
    <x v="0"/>
    <n v="25"/>
    <n v="27"/>
    <n v="108"/>
    <s v="On Track"/>
  </r>
  <r>
    <s v="E013"/>
    <x v="3"/>
    <x v="0"/>
    <x v="0"/>
    <n v="22"/>
    <n v="24"/>
    <n v="109.09090909090908"/>
    <s v="On Track"/>
  </r>
  <r>
    <s v="E014"/>
    <x v="3"/>
    <x v="1"/>
    <x v="0"/>
    <n v="30"/>
    <n v="28"/>
    <n v="93.333333333333329"/>
    <s v="Watch"/>
  </r>
  <r>
    <s v="E015"/>
    <x v="3"/>
    <x v="2"/>
    <x v="0"/>
    <n v="18"/>
    <n v="20"/>
    <n v="111.11111111111111"/>
    <s v="On Track"/>
  </r>
  <r>
    <s v="E016"/>
    <x v="3"/>
    <x v="3"/>
    <x v="0"/>
    <n v="26"/>
    <n v="25"/>
    <n v="96.15384615384616"/>
    <s v="Watch"/>
  </r>
  <r>
    <s v="E017"/>
    <x v="4"/>
    <x v="0"/>
    <x v="0"/>
    <n v="24"/>
    <n v="23"/>
    <n v="95.833333333333343"/>
    <s v="Watch"/>
  </r>
  <r>
    <s v="E018"/>
    <x v="4"/>
    <x v="1"/>
    <x v="0"/>
    <n v="28"/>
    <n v="27"/>
    <n v="96.428571428571431"/>
    <s v="Watch"/>
  </r>
  <r>
    <s v="E019"/>
    <x v="4"/>
    <x v="2"/>
    <x v="0"/>
    <n v="22"/>
    <n v="21"/>
    <n v="95.454545454545453"/>
    <s v="Watch"/>
  </r>
  <r>
    <s v="E020"/>
    <x v="4"/>
    <x v="3"/>
    <x v="0"/>
    <n v="30"/>
    <n v="26"/>
    <n v="86.666666666666671"/>
    <s v="Watch"/>
  </r>
  <r>
    <s v="E021"/>
    <x v="0"/>
    <x v="0"/>
    <x v="1"/>
    <n v="22"/>
    <n v="23"/>
    <n v="104.54545454545455"/>
    <s v="On Track"/>
  </r>
  <r>
    <s v="E022"/>
    <x v="0"/>
    <x v="1"/>
    <x v="1"/>
    <n v="26"/>
    <n v="27"/>
    <n v="103.84615384615385"/>
    <s v="On Track"/>
  </r>
  <r>
    <s v="E023"/>
    <x v="0"/>
    <x v="2"/>
    <x v="1"/>
    <n v="16"/>
    <n v="15"/>
    <n v="93.75"/>
    <s v="Watch"/>
  </r>
  <r>
    <s v="E024"/>
    <x v="0"/>
    <x v="3"/>
    <x v="1"/>
    <n v="32"/>
    <n v="34"/>
    <n v="106.25"/>
    <s v="On Track"/>
  </r>
  <r>
    <s v="E025"/>
    <x v="1"/>
    <x v="0"/>
    <x v="1"/>
    <n v="19"/>
    <n v="17"/>
    <n v="89.473684210526315"/>
    <s v="Watch"/>
  </r>
  <r>
    <s v="E026"/>
    <x v="1"/>
    <x v="1"/>
    <x v="1"/>
    <n v="23"/>
    <n v="21"/>
    <n v="91.304347826086953"/>
    <s v="Watch"/>
  </r>
  <r>
    <s v="E027"/>
    <x v="1"/>
    <x v="2"/>
    <x v="1"/>
    <n v="26"/>
    <n v="20"/>
    <n v="76.923076923076934"/>
    <s v="Below Target"/>
  </r>
  <r>
    <s v="E028"/>
    <x v="1"/>
    <x v="3"/>
    <x v="1"/>
    <n v="29"/>
    <n v="31"/>
    <n v="106.89655172413792"/>
    <s v="On Track"/>
  </r>
  <r>
    <s v="E029"/>
    <x v="2"/>
    <x v="0"/>
    <x v="1"/>
    <n v="21"/>
    <n v="22"/>
    <n v="104.76190476190477"/>
    <s v="On Track"/>
  </r>
  <r>
    <s v="E030"/>
    <x v="2"/>
    <x v="1"/>
    <x v="1"/>
    <n v="36"/>
    <n v="42"/>
    <n v="116.66666666666667"/>
    <s v="On Track"/>
  </r>
  <r>
    <s v="E031"/>
    <x v="2"/>
    <x v="2"/>
    <x v="1"/>
    <n v="21"/>
    <n v="20"/>
    <n v="95.238095238095227"/>
    <s v="Watch"/>
  </r>
  <r>
    <s v="E032"/>
    <x v="2"/>
    <x v="3"/>
    <x v="1"/>
    <n v="26"/>
    <n v="28"/>
    <n v="107.69230769230769"/>
    <s v="On Track"/>
  </r>
  <r>
    <s v="E033"/>
    <x v="3"/>
    <x v="0"/>
    <x v="1"/>
    <n v="23"/>
    <n v="25"/>
    <n v="108.69565217391303"/>
    <s v="On Track"/>
  </r>
  <r>
    <s v="E034"/>
    <x v="3"/>
    <x v="1"/>
    <x v="1"/>
    <n v="31"/>
    <n v="29"/>
    <n v="93.548387096774192"/>
    <s v="Watch"/>
  </r>
  <r>
    <s v="E035"/>
    <x v="3"/>
    <x v="2"/>
    <x v="1"/>
    <n v="19"/>
    <n v="21"/>
    <n v="110.5263157894737"/>
    <s v="On Track"/>
  </r>
  <r>
    <s v="E036"/>
    <x v="3"/>
    <x v="3"/>
    <x v="1"/>
    <n v="27"/>
    <n v="26"/>
    <n v="96.296296296296291"/>
    <s v="Watch"/>
  </r>
  <r>
    <s v="E037"/>
    <x v="4"/>
    <x v="0"/>
    <x v="1"/>
    <n v="25"/>
    <n v="24"/>
    <n v="96"/>
    <s v="Watch"/>
  </r>
  <r>
    <s v="E038"/>
    <x v="4"/>
    <x v="1"/>
    <x v="1"/>
    <n v="29"/>
    <n v="28"/>
    <n v="96.551724137931032"/>
    <s v="Watch"/>
  </r>
  <r>
    <s v="E039"/>
    <x v="4"/>
    <x v="2"/>
    <x v="1"/>
    <n v="23"/>
    <n v="22"/>
    <n v="95.652173913043484"/>
    <s v="Watch"/>
  </r>
  <r>
    <s v="E040"/>
    <x v="4"/>
    <x v="3"/>
    <x v="1"/>
    <n v="31"/>
    <n v="27"/>
    <n v="87.096774193548384"/>
    <s v="Watch"/>
  </r>
  <r>
    <s v="E041"/>
    <x v="0"/>
    <x v="0"/>
    <x v="2"/>
    <n v="23"/>
    <n v="24"/>
    <n v="104.34782608695652"/>
    <s v="On Track"/>
  </r>
  <r>
    <s v="E042"/>
    <x v="0"/>
    <x v="1"/>
    <x v="2"/>
    <n v="27"/>
    <n v="29"/>
    <n v="107.40740740740742"/>
    <s v="On Track"/>
  </r>
  <r>
    <s v="E043"/>
    <x v="0"/>
    <x v="2"/>
    <x v="2"/>
    <n v="17"/>
    <n v="16"/>
    <n v="94.117647058823522"/>
    <s v="Watch"/>
  </r>
  <r>
    <s v="E044"/>
    <x v="0"/>
    <x v="3"/>
    <x v="2"/>
    <n v="33"/>
    <n v="35"/>
    <n v="106.06060606060606"/>
    <s v="On Track"/>
  </r>
  <r>
    <s v="E045"/>
    <x v="1"/>
    <x v="0"/>
    <x v="2"/>
    <n v="20"/>
    <n v="18"/>
    <n v="90"/>
    <s v="Watch"/>
  </r>
  <r>
    <s v="E046"/>
    <x v="1"/>
    <x v="1"/>
    <x v="2"/>
    <n v="24"/>
    <n v="22"/>
    <n v="91.666666666666657"/>
    <s v="Watch"/>
  </r>
  <r>
    <s v="E047"/>
    <x v="1"/>
    <x v="2"/>
    <x v="2"/>
    <n v="27"/>
    <n v="21"/>
    <n v="77.777777777777786"/>
    <s v="Below Target"/>
  </r>
  <r>
    <s v="E048"/>
    <x v="1"/>
    <x v="3"/>
    <x v="2"/>
    <n v="30"/>
    <n v="32"/>
    <n v="106.66666666666667"/>
    <s v="On Track"/>
  </r>
  <r>
    <s v="E049"/>
    <x v="2"/>
    <x v="0"/>
    <x v="2"/>
    <n v="22"/>
    <n v="23"/>
    <n v="104.54545454545455"/>
    <s v="On Track"/>
  </r>
  <r>
    <s v="E050"/>
    <x v="2"/>
    <x v="1"/>
    <x v="2"/>
    <n v="37"/>
    <n v="43"/>
    <n v="116.21621621621621"/>
    <s v="On Track"/>
  </r>
  <r>
    <s v="E051"/>
    <x v="2"/>
    <x v="2"/>
    <x v="2"/>
    <n v="22"/>
    <n v="21"/>
    <n v="95.454545454545453"/>
    <s v="Watch"/>
  </r>
  <r>
    <s v="E052"/>
    <x v="2"/>
    <x v="3"/>
    <x v="2"/>
    <n v="27"/>
    <n v="29"/>
    <n v="107.40740740740742"/>
    <s v="On Track"/>
  </r>
  <r>
    <s v="E053"/>
    <x v="3"/>
    <x v="0"/>
    <x v="2"/>
    <n v="24"/>
    <n v="26"/>
    <n v="108.33333333333333"/>
    <s v="On Track"/>
  </r>
  <r>
    <s v="E054"/>
    <x v="3"/>
    <x v="1"/>
    <x v="2"/>
    <n v="32"/>
    <n v="30"/>
    <n v="93.75"/>
    <s v="Watch"/>
  </r>
  <r>
    <s v="E055"/>
    <x v="3"/>
    <x v="2"/>
    <x v="2"/>
    <n v="20"/>
    <n v="22"/>
    <n v="110.00000000000001"/>
    <s v="On Track"/>
  </r>
  <r>
    <s v="E056"/>
    <x v="3"/>
    <x v="3"/>
    <x v="2"/>
    <n v="28"/>
    <n v="27"/>
    <n v="96.428571428571431"/>
    <s v="Watch"/>
  </r>
  <r>
    <s v="E057"/>
    <x v="4"/>
    <x v="0"/>
    <x v="2"/>
    <n v="26"/>
    <n v="25"/>
    <n v="96.15384615384616"/>
    <s v="Watch"/>
  </r>
  <r>
    <s v="E058"/>
    <x v="4"/>
    <x v="1"/>
    <x v="2"/>
    <n v="30"/>
    <n v="29"/>
    <n v="96.666666666666671"/>
    <s v="Watch"/>
  </r>
  <r>
    <s v="E059"/>
    <x v="4"/>
    <x v="2"/>
    <x v="2"/>
    <n v="24"/>
    <n v="23"/>
    <n v="95.833333333333343"/>
    <s v="Watch"/>
  </r>
  <r>
    <s v="E060"/>
    <x v="4"/>
    <x v="3"/>
    <x v="2"/>
    <n v="32"/>
    <n v="28"/>
    <n v="87.5"/>
    <s v="Watch"/>
  </r>
  <r>
    <s v="E061"/>
    <x v="0"/>
    <x v="0"/>
    <x v="3"/>
    <n v="24"/>
    <n v="25"/>
    <n v="104.16666666666667"/>
    <s v="On Track"/>
  </r>
  <r>
    <s v="E062"/>
    <x v="0"/>
    <x v="1"/>
    <x v="3"/>
    <n v="28"/>
    <n v="30"/>
    <n v="107.14285714285714"/>
    <s v="On Track"/>
  </r>
  <r>
    <s v="E063"/>
    <x v="0"/>
    <x v="2"/>
    <x v="3"/>
    <n v="18"/>
    <n v="17"/>
    <n v="94.444444444444443"/>
    <s v="Watch"/>
  </r>
  <r>
    <s v="E064"/>
    <x v="0"/>
    <x v="3"/>
    <x v="3"/>
    <n v="34"/>
    <n v="36"/>
    <n v="105.88235294117648"/>
    <s v="On Track"/>
  </r>
  <r>
    <s v="E065"/>
    <x v="1"/>
    <x v="0"/>
    <x v="3"/>
    <n v="21"/>
    <n v="19"/>
    <n v="90.476190476190482"/>
    <s v="Watch"/>
  </r>
  <r>
    <s v="E066"/>
    <x v="1"/>
    <x v="1"/>
    <x v="3"/>
    <n v="25"/>
    <n v="23"/>
    <n v="92"/>
    <s v="Watch"/>
  </r>
  <r>
    <s v="E067"/>
    <x v="1"/>
    <x v="2"/>
    <x v="3"/>
    <n v="28"/>
    <n v="22"/>
    <n v="78.571428571428569"/>
    <s v="Below Target"/>
  </r>
  <r>
    <s v="E068"/>
    <x v="1"/>
    <x v="3"/>
    <x v="3"/>
    <n v="31"/>
    <n v="33"/>
    <n v="106.45161290322579"/>
    <s v="On Track"/>
  </r>
  <r>
    <s v="E069"/>
    <x v="2"/>
    <x v="0"/>
    <x v="3"/>
    <n v="23"/>
    <n v="24"/>
    <n v="104.34782608695652"/>
    <s v="On Track"/>
  </r>
  <r>
    <s v="E070"/>
    <x v="2"/>
    <x v="1"/>
    <x v="3"/>
    <n v="38"/>
    <n v="44"/>
    <n v="115.78947368421053"/>
    <s v="On Track"/>
  </r>
  <r>
    <s v="E071"/>
    <x v="2"/>
    <x v="2"/>
    <x v="3"/>
    <n v="23"/>
    <n v="22"/>
    <n v="95.652173913043484"/>
    <s v="Watch"/>
  </r>
  <r>
    <s v="E072"/>
    <x v="2"/>
    <x v="3"/>
    <x v="3"/>
    <n v="28"/>
    <n v="30"/>
    <n v="107.14285714285714"/>
    <s v="On Track"/>
  </r>
  <r>
    <s v="E073"/>
    <x v="3"/>
    <x v="0"/>
    <x v="3"/>
    <n v="25"/>
    <n v="27"/>
    <n v="108"/>
    <s v="On Track"/>
  </r>
  <r>
    <s v="E074"/>
    <x v="3"/>
    <x v="1"/>
    <x v="3"/>
    <n v="33"/>
    <n v="31"/>
    <n v="93.939393939393938"/>
    <s v="Watch"/>
  </r>
  <r>
    <s v="E075"/>
    <x v="3"/>
    <x v="2"/>
    <x v="3"/>
    <n v="21"/>
    <n v="23"/>
    <n v="109.52380952380953"/>
    <s v="On Track"/>
  </r>
  <r>
    <s v="E076"/>
    <x v="3"/>
    <x v="3"/>
    <x v="3"/>
    <n v="29"/>
    <n v="28"/>
    <n v="96.551724137931032"/>
    <s v="Watch"/>
  </r>
  <r>
    <s v="E077"/>
    <x v="4"/>
    <x v="0"/>
    <x v="3"/>
    <n v="27"/>
    <n v="26"/>
    <n v="96.296296296296291"/>
    <s v="Watch"/>
  </r>
  <r>
    <s v="E078"/>
    <x v="4"/>
    <x v="1"/>
    <x v="3"/>
    <n v="31"/>
    <n v="30"/>
    <n v="96.774193548387103"/>
    <s v="Watch"/>
  </r>
  <r>
    <s v="E079"/>
    <x v="4"/>
    <x v="2"/>
    <x v="3"/>
    <n v="25"/>
    <n v="24"/>
    <n v="96"/>
    <s v="Watch"/>
  </r>
  <r>
    <s v="E080"/>
    <x v="4"/>
    <x v="3"/>
    <x v="3"/>
    <n v="33"/>
    <n v="29"/>
    <n v="87.878787878787875"/>
    <s v="Watch"/>
  </r>
  <r>
    <s v="E081"/>
    <x v="0"/>
    <x v="0"/>
    <x v="4"/>
    <n v="25"/>
    <n v="26"/>
    <n v="104"/>
    <s v="On Track"/>
  </r>
  <r>
    <s v="E082"/>
    <x v="0"/>
    <x v="1"/>
    <x v="4"/>
    <n v="29"/>
    <n v="31"/>
    <n v="106.89655172413792"/>
    <s v="On Track"/>
  </r>
  <r>
    <s v="E083"/>
    <x v="0"/>
    <x v="2"/>
    <x v="4"/>
    <n v="19"/>
    <n v="18"/>
    <n v="94.73684210526315"/>
    <s v="Watch"/>
  </r>
  <r>
    <s v="E084"/>
    <x v="0"/>
    <x v="3"/>
    <x v="4"/>
    <n v="35"/>
    <n v="37"/>
    <n v="105.71428571428572"/>
    <s v="On Track"/>
  </r>
  <r>
    <s v="E085"/>
    <x v="1"/>
    <x v="0"/>
    <x v="4"/>
    <n v="22"/>
    <n v="20"/>
    <n v="90.909090909090907"/>
    <s v="Watch"/>
  </r>
  <r>
    <s v="E086"/>
    <x v="1"/>
    <x v="1"/>
    <x v="4"/>
    <n v="26"/>
    <n v="24"/>
    <n v="92.307692307692307"/>
    <s v="Watch"/>
  </r>
  <r>
    <s v="E087"/>
    <x v="1"/>
    <x v="2"/>
    <x v="4"/>
    <n v="29"/>
    <n v="23"/>
    <n v="79.310344827586206"/>
    <s v="Below Target"/>
  </r>
  <r>
    <s v="E088"/>
    <x v="1"/>
    <x v="3"/>
    <x v="4"/>
    <n v="30"/>
    <n v="32"/>
    <n v="106.66666666666667"/>
    <s v="On Track"/>
  </r>
  <r>
    <s v="E089"/>
    <x v="2"/>
    <x v="0"/>
    <x v="4"/>
    <n v="24"/>
    <n v="25"/>
    <n v="104.16666666666667"/>
    <s v="On Track"/>
  </r>
  <r>
    <s v="E090"/>
    <x v="2"/>
    <x v="1"/>
    <x v="4"/>
    <n v="39"/>
    <n v="45"/>
    <n v="115.38461538461537"/>
    <s v="On Track"/>
  </r>
  <r>
    <s v="E091"/>
    <x v="2"/>
    <x v="2"/>
    <x v="4"/>
    <n v="24"/>
    <n v="23"/>
    <n v="95.833333333333343"/>
    <s v="Watch"/>
  </r>
  <r>
    <s v="E092"/>
    <x v="2"/>
    <x v="3"/>
    <x v="4"/>
    <n v="29"/>
    <n v="31"/>
    <n v="106.89655172413792"/>
    <s v="On Track"/>
  </r>
  <r>
    <s v="E093"/>
    <x v="3"/>
    <x v="0"/>
    <x v="4"/>
    <n v="26"/>
    <n v="28"/>
    <n v="107.69230769230769"/>
    <s v="On Track"/>
  </r>
  <r>
    <s v="E094"/>
    <x v="3"/>
    <x v="1"/>
    <x v="4"/>
    <n v="34"/>
    <n v="32"/>
    <n v="94.117647058823522"/>
    <s v="Watch"/>
  </r>
  <r>
    <s v="E095"/>
    <x v="3"/>
    <x v="2"/>
    <x v="4"/>
    <n v="22"/>
    <n v="24"/>
    <n v="109.09090909090908"/>
    <s v="On Track"/>
  </r>
  <r>
    <s v="E096"/>
    <x v="3"/>
    <x v="3"/>
    <x v="4"/>
    <n v="30"/>
    <n v="29"/>
    <n v="96.666666666666671"/>
    <s v="Watch"/>
  </r>
  <r>
    <s v="E097"/>
    <x v="4"/>
    <x v="0"/>
    <x v="4"/>
    <n v="28"/>
    <n v="27"/>
    <n v="96.428571428571431"/>
    <s v="Watch"/>
  </r>
  <r>
    <s v="E098"/>
    <x v="4"/>
    <x v="1"/>
    <x v="4"/>
    <n v="32"/>
    <n v="31"/>
    <n v="96.875"/>
    <s v="Watch"/>
  </r>
  <r>
    <s v="E099"/>
    <x v="4"/>
    <x v="2"/>
    <x v="4"/>
    <n v="26"/>
    <n v="25"/>
    <n v="96.15384615384616"/>
    <s v="Watch"/>
  </r>
  <r>
    <s v="E100"/>
    <x v="4"/>
    <x v="3"/>
    <x v="4"/>
    <n v="34"/>
    <n v="30"/>
    <n v="88.235294117647058"/>
    <s v="Watch"/>
  </r>
  <r>
    <s v="E101"/>
    <x v="0"/>
    <x v="0"/>
    <x v="5"/>
    <n v="26"/>
    <n v="27"/>
    <n v="103.84615384615385"/>
    <s v="On Track"/>
  </r>
  <r>
    <s v="E102"/>
    <x v="0"/>
    <x v="1"/>
    <x v="5"/>
    <n v="30"/>
    <n v="32"/>
    <n v="106.66666666666667"/>
    <s v="On Track"/>
  </r>
  <r>
    <s v="E103"/>
    <x v="0"/>
    <x v="2"/>
    <x v="5"/>
    <n v="20"/>
    <n v="19"/>
    <n v="95"/>
    <s v="Watch"/>
  </r>
  <r>
    <s v="E104"/>
    <x v="0"/>
    <x v="3"/>
    <x v="5"/>
    <n v="36"/>
    <n v="38"/>
    <n v="105.55555555555556"/>
    <s v="On Track"/>
  </r>
  <r>
    <s v="E105"/>
    <x v="1"/>
    <x v="0"/>
    <x v="5"/>
    <n v="23"/>
    <n v="21"/>
    <n v="91.304347826086953"/>
    <s v="Watch"/>
  </r>
  <r>
    <s v="E106"/>
    <x v="1"/>
    <x v="1"/>
    <x v="5"/>
    <n v="27"/>
    <n v="25"/>
    <n v="92.592592592592595"/>
    <s v="Watch"/>
  </r>
  <r>
    <s v="E107"/>
    <x v="1"/>
    <x v="2"/>
    <x v="5"/>
    <n v="30"/>
    <n v="24"/>
    <n v="80"/>
    <s v="Watch"/>
  </r>
  <r>
    <s v="E108"/>
    <x v="1"/>
    <x v="3"/>
    <x v="5"/>
    <n v="32"/>
    <n v="34"/>
    <n v="106.25"/>
    <s v="On Track"/>
  </r>
  <r>
    <s v="E109"/>
    <x v="2"/>
    <x v="0"/>
    <x v="5"/>
    <n v="25"/>
    <n v="26"/>
    <n v="104"/>
    <s v="On Track"/>
  </r>
  <r>
    <s v="E110"/>
    <x v="2"/>
    <x v="1"/>
    <x v="5"/>
    <n v="40"/>
    <n v="46"/>
    <n v="114.99999999999999"/>
    <s v="On Track"/>
  </r>
  <r>
    <s v="E111"/>
    <x v="2"/>
    <x v="2"/>
    <x v="5"/>
    <n v="25"/>
    <n v="24"/>
    <n v="96"/>
    <s v="Watch"/>
  </r>
  <r>
    <s v="E112"/>
    <x v="2"/>
    <x v="3"/>
    <x v="5"/>
    <n v="30"/>
    <n v="32"/>
    <n v="106.66666666666667"/>
    <s v="On Track"/>
  </r>
  <r>
    <s v="E113"/>
    <x v="3"/>
    <x v="0"/>
    <x v="5"/>
    <n v="27"/>
    <n v="29"/>
    <n v="107.40740740740742"/>
    <s v="On Track"/>
  </r>
  <r>
    <s v="E114"/>
    <x v="3"/>
    <x v="1"/>
    <x v="5"/>
    <n v="35"/>
    <n v="33"/>
    <n v="94.285714285714278"/>
    <s v="Watch"/>
  </r>
  <r>
    <s v="E115"/>
    <x v="3"/>
    <x v="2"/>
    <x v="5"/>
    <n v="23"/>
    <n v="25"/>
    <n v="108.69565217391303"/>
    <s v="On Track"/>
  </r>
  <r>
    <s v="E116"/>
    <x v="3"/>
    <x v="3"/>
    <x v="5"/>
    <n v="31"/>
    <n v="30"/>
    <n v="96.774193548387103"/>
    <s v="Watch"/>
  </r>
  <r>
    <s v="E117"/>
    <x v="4"/>
    <x v="0"/>
    <x v="5"/>
    <n v="29"/>
    <n v="28"/>
    <n v="96.551724137931032"/>
    <s v="Watch"/>
  </r>
  <r>
    <s v="E118"/>
    <x v="4"/>
    <x v="1"/>
    <x v="5"/>
    <n v="33"/>
    <n v="32"/>
    <n v="96.969696969696969"/>
    <s v="Watch"/>
  </r>
  <r>
    <s v="E119"/>
    <x v="4"/>
    <x v="2"/>
    <x v="5"/>
    <n v="27"/>
    <n v="26"/>
    <n v="96.296296296296291"/>
    <s v="Wat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8DA9C-9573-4CE7-8238-4DD8A4521BE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8">
    <pivotField showAll="0"/>
    <pivotField axis="axisRow" showAll="0">
      <items count="6">
        <item x="0"/>
        <item x="1"/>
        <item x="3"/>
        <item x="2"/>
        <item x="4"/>
        <item t="default"/>
      </items>
    </pivotField>
    <pivotField axis="axisCol" showAll="0">
      <items count="5">
        <item x="2"/>
        <item x="3"/>
        <item x="0"/>
        <item x="1"/>
        <item t="default"/>
      </items>
    </pivotField>
    <pivotField showAll="0">
      <items count="7">
        <item x="0"/>
        <item x="1"/>
        <item x="2"/>
        <item x="3"/>
        <item x="4"/>
        <item x="5"/>
        <item t="default"/>
      </items>
    </pivotField>
    <pivotField numFmtId="1" showAll="0"/>
    <pivotField dataField="1" numFmtId="1" showAll="0"/>
    <pivotField numFmtId="164" showAll="0"/>
    <pivotField showAll="0"/>
  </pivotFields>
  <rowFields count="1">
    <field x="1"/>
  </rowFields>
  <rowItems count="6">
    <i>
      <x/>
    </i>
    <i>
      <x v="1"/>
    </i>
    <i>
      <x v="2"/>
    </i>
    <i>
      <x v="3"/>
    </i>
    <i>
      <x v="4"/>
    </i>
    <i t="grand">
      <x/>
    </i>
  </rowItems>
  <colFields count="1">
    <field x="2"/>
  </colFields>
  <colItems count="5">
    <i>
      <x/>
    </i>
    <i>
      <x v="1"/>
    </i>
    <i>
      <x v="2"/>
    </i>
    <i>
      <x v="3"/>
    </i>
    <i t="grand">
      <x/>
    </i>
  </colItems>
  <dataFields count="1">
    <dataField name="Total Actual Hours" fld="5" baseField="1" baseItem="4" numFmtId="1"/>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C4F93-4543-4B9F-A71A-FD791A54CFF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8">
    <pivotField showAll="0"/>
    <pivotField showAll="0">
      <items count="6">
        <item x="0"/>
        <item x="1"/>
        <item x="3"/>
        <item x="2"/>
        <item x="4"/>
        <item t="default"/>
      </items>
    </pivotField>
    <pivotField showAll="0"/>
    <pivotField axis="axisRow" showAll="0">
      <items count="7">
        <item x="0"/>
        <item x="1"/>
        <item x="2"/>
        <item x="3"/>
        <item x="4"/>
        <item x="5"/>
        <item t="default"/>
      </items>
    </pivotField>
    <pivotField numFmtId="1" showAll="0"/>
    <pivotField dataField="1" numFmtId="1" showAll="0"/>
    <pivotField numFmtId="164" showAll="0"/>
    <pivotField showAll="0"/>
  </pivotFields>
  <rowFields count="1">
    <field x="3"/>
  </rowFields>
  <rowItems count="7">
    <i>
      <x/>
    </i>
    <i>
      <x v="1"/>
    </i>
    <i>
      <x v="2"/>
    </i>
    <i>
      <x v="3"/>
    </i>
    <i>
      <x v="4"/>
    </i>
    <i>
      <x v="5"/>
    </i>
    <i t="grand">
      <x/>
    </i>
  </rowItems>
  <colItems count="1">
    <i/>
  </colItems>
  <dataFields count="1">
    <dataField name="Sum of Actual Hours" fld="5"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18C2757-1CDC-4B58-9645-4D4DE37C52F5}" sourceName="Month">
  <pivotTables>
    <pivotTable tabId="10" name="PivotTable4"/>
    <pivotTable tabId="9" name="PivotTable3"/>
  </pivotTables>
  <data>
    <tabular pivotCacheId="567073991">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EC804D9-F78E-4BF7-BEF2-4FA055C4DF04}" sourceName="Department">
  <pivotTables>
    <pivotTable tabId="9" name="PivotTable3"/>
    <pivotTable tabId="10" name="PivotTable4"/>
  </pivotTables>
  <data>
    <tabular pivotCacheId="567073991">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AF56D37-F82B-49D5-AA6A-249DC50DEFC2}"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3262639-2151-4A9F-A3C2-FD272A2139C5}" cache="Slicer_Month1" caption="Month" rowHeight="241300"/>
  <slicer name="Department" xr10:uid="{0C1F33F4-69E9-4B2F-BAC5-B485473A0ED7}" cache="Slicer_Department" caption="Department"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iningData" displayName="TrainingData" ref="A6:H125" totalsRowShown="0">
  <autoFilter ref="A6:H125" xr:uid="{00000000-0009-0000-0100-000001000000}"/>
  <tableColumns count="8">
    <tableColumn id="1" xr3:uid="{00000000-0010-0000-0000-000001000000}" name="Employee ID"/>
    <tableColumn id="2" xr3:uid="{00000000-0010-0000-0000-000002000000}" name="Department"/>
    <tableColumn id="3" xr3:uid="{00000000-0010-0000-0000-000003000000}" name="Training Type"/>
    <tableColumn id="4" xr3:uid="{00000000-0010-0000-0000-000004000000}" name="Month"/>
    <tableColumn id="5" xr3:uid="{00000000-0010-0000-0000-000005000000}" name="Target Hours"/>
    <tableColumn id="6" xr3:uid="{00000000-0010-0000-0000-000006000000}" name="Actual Hours"/>
    <tableColumn id="7" xr3:uid="{00000000-0010-0000-0000-000007000000}" name="Achievement %"/>
    <tableColumn id="8" xr3:uid="{00000000-0010-0000-0000-000008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zoomScaleNormal="100" workbookViewId="0"/>
  </sheetViews>
  <sheetFormatPr defaultColWidth="8.7109375" defaultRowHeight="15" x14ac:dyDescent="0.25"/>
  <cols>
    <col min="1" max="1" width="30" customWidth="1"/>
    <col min="2" max="2" width="66" customWidth="1"/>
  </cols>
  <sheetData>
    <row r="1" spans="1:2" ht="42" customHeight="1" x14ac:dyDescent="0.25">
      <c r="A1" s="14" t="s">
        <v>0</v>
      </c>
      <c r="B1" s="14"/>
    </row>
    <row r="2" spans="1:2" ht="24" customHeight="1" x14ac:dyDescent="0.25">
      <c r="A2" s="13" t="s">
        <v>1</v>
      </c>
      <c r="B2" s="13"/>
    </row>
    <row r="4" spans="1:2" ht="25.5" customHeight="1" x14ac:dyDescent="0.25">
      <c r="A4" s="12" t="s">
        <v>2</v>
      </c>
      <c r="B4" s="12"/>
    </row>
    <row r="5" spans="1:2" ht="25.5" customHeight="1" x14ac:dyDescent="0.25">
      <c r="A5" s="15" t="s">
        <v>3</v>
      </c>
      <c r="B5" s="16" t="s">
        <v>4</v>
      </c>
    </row>
    <row r="6" spans="1:2" ht="25.5" customHeight="1" x14ac:dyDescent="0.25">
      <c r="A6" s="15" t="s">
        <v>5</v>
      </c>
      <c r="B6" s="17" t="s">
        <v>6</v>
      </c>
    </row>
    <row r="7" spans="1:2" ht="25.5" customHeight="1" x14ac:dyDescent="0.25">
      <c r="A7" s="15" t="s">
        <v>7</v>
      </c>
      <c r="B7" s="16" t="s">
        <v>8</v>
      </c>
    </row>
    <row r="8" spans="1:2" ht="25.5" customHeight="1" x14ac:dyDescent="0.25">
      <c r="A8" s="15" t="s">
        <v>9</v>
      </c>
      <c r="B8" s="17" t="s">
        <v>10</v>
      </c>
    </row>
    <row r="9" spans="1:2" ht="25.5" customHeight="1" x14ac:dyDescent="0.25">
      <c r="A9" s="15" t="s">
        <v>11</v>
      </c>
      <c r="B9" s="16" t="s">
        <v>12</v>
      </c>
    </row>
    <row r="10" spans="1:2" ht="25.5" customHeight="1" x14ac:dyDescent="0.25">
      <c r="A10" s="15" t="s">
        <v>13</v>
      </c>
      <c r="B10" s="17" t="s">
        <v>14</v>
      </c>
    </row>
    <row r="11" spans="1:2" ht="25.5" customHeight="1" x14ac:dyDescent="0.25">
      <c r="A11" s="15" t="s">
        <v>15</v>
      </c>
      <c r="B11" s="16" t="s">
        <v>16</v>
      </c>
    </row>
    <row r="13" spans="1:2" ht="25.5" customHeight="1" x14ac:dyDescent="0.25">
      <c r="A13" s="12" t="s">
        <v>17</v>
      </c>
      <c r="B13" s="12"/>
    </row>
    <row r="14" spans="1:2" ht="21.75" customHeight="1" x14ac:dyDescent="0.25">
      <c r="A14" s="18" t="s">
        <v>18</v>
      </c>
      <c r="B14" s="19" t="s">
        <v>19</v>
      </c>
    </row>
    <row r="15" spans="1:2" ht="21.75" customHeight="1" x14ac:dyDescent="0.25">
      <c r="A15" s="20" t="s">
        <v>20</v>
      </c>
      <c r="B15" s="17" t="s">
        <v>21</v>
      </c>
    </row>
    <row r="16" spans="1:2" ht="21.75" customHeight="1" x14ac:dyDescent="0.25">
      <c r="A16" s="15" t="s">
        <v>22</v>
      </c>
      <c r="B16" s="21" t="s">
        <v>23</v>
      </c>
    </row>
    <row r="17" spans="1:2" ht="21.75" customHeight="1" x14ac:dyDescent="0.25">
      <c r="A17" s="22" t="s">
        <v>24</v>
      </c>
      <c r="B17" s="23" t="s">
        <v>25</v>
      </c>
    </row>
    <row r="18" spans="1:2" ht="21.75" customHeight="1" x14ac:dyDescent="0.25">
      <c r="A18" s="24" t="s">
        <v>26</v>
      </c>
      <c r="B18" s="25" t="s">
        <v>27</v>
      </c>
    </row>
    <row r="19" spans="1:2" ht="21.75" customHeight="1" x14ac:dyDescent="0.25">
      <c r="A19" s="26" t="s">
        <v>28</v>
      </c>
      <c r="B19" s="27" t="s">
        <v>29</v>
      </c>
    </row>
    <row r="20" spans="1:2" ht="21.75" customHeight="1" x14ac:dyDescent="0.25">
      <c r="A20" s="28" t="s">
        <v>30</v>
      </c>
      <c r="B20" s="29" t="s">
        <v>31</v>
      </c>
    </row>
    <row r="21" spans="1:2" ht="21.75" customHeight="1" x14ac:dyDescent="0.25">
      <c r="A21" s="30" t="s">
        <v>32</v>
      </c>
      <c r="B21" s="31" t="s">
        <v>33</v>
      </c>
    </row>
    <row r="22" spans="1:2" ht="21.75" customHeight="1" x14ac:dyDescent="0.25">
      <c r="A22" s="32" t="s">
        <v>34</v>
      </c>
      <c r="B22" s="33" t="s">
        <v>35</v>
      </c>
    </row>
    <row r="24" spans="1:2" ht="31.5" customHeight="1" x14ac:dyDescent="0.25">
      <c r="A24" s="11" t="s">
        <v>36</v>
      </c>
      <c r="B24" s="11"/>
    </row>
  </sheetData>
  <mergeCells count="5">
    <mergeCell ref="A1:B1"/>
    <mergeCell ref="A2:B2"/>
    <mergeCell ref="A4:B4"/>
    <mergeCell ref="A13:B13"/>
    <mergeCell ref="A24:B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A9FA-C9EC-449F-8871-EE912243ABDA}">
  <dimension ref="A3:F10"/>
  <sheetViews>
    <sheetView topLeftCell="A2" workbookViewId="0">
      <selection activeCell="M4" sqref="M4"/>
    </sheetView>
  </sheetViews>
  <sheetFormatPr defaultRowHeight="15" x14ac:dyDescent="0.25"/>
  <cols>
    <col min="1" max="1" width="17.28515625" bestFit="1" customWidth="1"/>
    <col min="2" max="2" width="16.28515625" bestFit="1" customWidth="1"/>
    <col min="3" max="3" width="10.7109375" bestFit="1" customWidth="1"/>
    <col min="4" max="4" width="11.42578125" bestFit="1" customWidth="1"/>
    <col min="5" max="5" width="17.5703125" bestFit="1" customWidth="1"/>
    <col min="6" max="6" width="11.28515625" bestFit="1" customWidth="1"/>
  </cols>
  <sheetData>
    <row r="3" spans="1:6" x14ac:dyDescent="0.25">
      <c r="A3" s="87" t="s">
        <v>516</v>
      </c>
      <c r="B3" s="87" t="s">
        <v>515</v>
      </c>
    </row>
    <row r="4" spans="1:6" x14ac:dyDescent="0.25">
      <c r="A4" s="87" t="s">
        <v>513</v>
      </c>
      <c r="B4" t="s">
        <v>60</v>
      </c>
      <c r="C4" t="s">
        <v>63</v>
      </c>
      <c r="D4" t="s">
        <v>53</v>
      </c>
      <c r="E4" t="s">
        <v>57</v>
      </c>
      <c r="F4" t="s">
        <v>514</v>
      </c>
    </row>
    <row r="5" spans="1:6" x14ac:dyDescent="0.25">
      <c r="A5" s="88" t="s">
        <v>52</v>
      </c>
      <c r="B5" s="89">
        <v>99</v>
      </c>
      <c r="C5" s="89">
        <v>212</v>
      </c>
      <c r="D5" s="89">
        <v>147</v>
      </c>
      <c r="E5" s="89">
        <v>177</v>
      </c>
      <c r="F5" s="89">
        <v>635</v>
      </c>
    </row>
    <row r="6" spans="1:6" x14ac:dyDescent="0.25">
      <c r="A6" s="88" t="s">
        <v>66</v>
      </c>
      <c r="B6" s="89">
        <v>128</v>
      </c>
      <c r="C6" s="89">
        <v>192</v>
      </c>
      <c r="D6" s="89">
        <v>111</v>
      </c>
      <c r="E6" s="89">
        <v>135</v>
      </c>
      <c r="F6" s="89">
        <v>566</v>
      </c>
    </row>
    <row r="7" spans="1:6" x14ac:dyDescent="0.25">
      <c r="A7" s="88" t="s">
        <v>83</v>
      </c>
      <c r="B7" s="89">
        <v>135</v>
      </c>
      <c r="C7" s="89">
        <v>165</v>
      </c>
      <c r="D7" s="89">
        <v>159</v>
      </c>
      <c r="E7" s="89">
        <v>183</v>
      </c>
      <c r="F7" s="89">
        <v>642</v>
      </c>
    </row>
    <row r="8" spans="1:6" x14ac:dyDescent="0.25">
      <c r="A8" s="88" t="s">
        <v>74</v>
      </c>
      <c r="B8" s="89">
        <v>129</v>
      </c>
      <c r="C8" s="89">
        <v>177</v>
      </c>
      <c r="D8" s="89">
        <v>141</v>
      </c>
      <c r="E8" s="89">
        <v>260</v>
      </c>
      <c r="F8" s="89">
        <v>707</v>
      </c>
    </row>
    <row r="9" spans="1:6" x14ac:dyDescent="0.25">
      <c r="A9" s="88" t="s">
        <v>92</v>
      </c>
      <c r="B9" s="89">
        <v>141</v>
      </c>
      <c r="C9" s="89">
        <v>140</v>
      </c>
      <c r="D9" s="89">
        <v>153</v>
      </c>
      <c r="E9" s="89">
        <v>177</v>
      </c>
      <c r="F9" s="89">
        <v>611</v>
      </c>
    </row>
    <row r="10" spans="1:6" x14ac:dyDescent="0.25">
      <c r="A10" s="88" t="s">
        <v>514</v>
      </c>
      <c r="B10" s="89">
        <v>632</v>
      </c>
      <c r="C10" s="89">
        <v>886</v>
      </c>
      <c r="D10" s="89">
        <v>711</v>
      </c>
      <c r="E10" s="89">
        <v>932</v>
      </c>
      <c r="F10" s="89">
        <v>3161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1B3A-113B-4E9B-B880-A47C5BB9FFA0}">
  <dimension ref="A3:B10"/>
  <sheetViews>
    <sheetView workbookViewId="0">
      <selection activeCell="B6" sqref="B6"/>
    </sheetView>
  </sheetViews>
  <sheetFormatPr defaultRowHeight="15" x14ac:dyDescent="0.25"/>
  <cols>
    <col min="1" max="1" width="13.140625" bestFit="1" customWidth="1"/>
    <col min="2" max="2" width="19" bestFit="1" customWidth="1"/>
  </cols>
  <sheetData>
    <row r="3" spans="1:2" x14ac:dyDescent="0.25">
      <c r="A3" s="87" t="s">
        <v>513</v>
      </c>
      <c r="B3" t="s">
        <v>517</v>
      </c>
    </row>
    <row r="4" spans="1:2" x14ac:dyDescent="0.25">
      <c r="A4" s="88" t="s">
        <v>54</v>
      </c>
      <c r="B4" s="89">
        <v>481</v>
      </c>
    </row>
    <row r="5" spans="1:2" x14ac:dyDescent="0.25">
      <c r="A5" s="88" t="s">
        <v>97</v>
      </c>
      <c r="B5" s="89">
        <v>502</v>
      </c>
    </row>
    <row r="6" spans="1:2" x14ac:dyDescent="0.25">
      <c r="A6" s="88" t="s">
        <v>118</v>
      </c>
      <c r="B6" s="89">
        <v>523</v>
      </c>
    </row>
    <row r="7" spans="1:2" x14ac:dyDescent="0.25">
      <c r="A7" s="88" t="s">
        <v>139</v>
      </c>
      <c r="B7" s="89">
        <v>543</v>
      </c>
    </row>
    <row r="8" spans="1:2" x14ac:dyDescent="0.25">
      <c r="A8" s="88" t="s">
        <v>160</v>
      </c>
      <c r="B8" s="89">
        <v>561</v>
      </c>
    </row>
    <row r="9" spans="1:2" x14ac:dyDescent="0.25">
      <c r="A9" s="88" t="s">
        <v>181</v>
      </c>
      <c r="B9" s="89">
        <v>551</v>
      </c>
    </row>
    <row r="10" spans="1:2" x14ac:dyDescent="0.25">
      <c r="A10" s="88" t="s">
        <v>514</v>
      </c>
      <c r="B10" s="89">
        <v>3161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0"/>
  <sheetViews>
    <sheetView showGridLines="0" topLeftCell="A7" zoomScaleNormal="100" workbookViewId="0">
      <selection activeCell="A6" sqref="A6:H125"/>
    </sheetView>
  </sheetViews>
  <sheetFormatPr defaultColWidth="8.7109375" defaultRowHeight="15" x14ac:dyDescent="0.25"/>
  <cols>
    <col min="1" max="1" width="12" customWidth="1"/>
    <col min="2" max="2" width="14" customWidth="1"/>
    <col min="3" max="3" width="18" customWidth="1"/>
    <col min="4" max="4" width="8" customWidth="1"/>
    <col min="5" max="5" width="14" customWidth="1"/>
    <col min="6" max="6" width="12" customWidth="1"/>
    <col min="7" max="7" width="16" customWidth="1"/>
    <col min="8" max="8" width="14" customWidth="1"/>
    <col min="9" max="9" width="4" customWidth="1"/>
    <col min="10" max="10" width="52" customWidth="1"/>
  </cols>
  <sheetData>
    <row r="1" spans="1:10" ht="42" customHeight="1" x14ac:dyDescent="0.25">
      <c r="A1" s="14" t="s">
        <v>37</v>
      </c>
      <c r="B1" s="14"/>
      <c r="C1" s="14"/>
      <c r="D1" s="14"/>
      <c r="E1" s="14"/>
      <c r="F1" s="14"/>
      <c r="G1" s="14"/>
      <c r="H1" s="14"/>
    </row>
    <row r="2" spans="1:10" ht="24" customHeight="1" x14ac:dyDescent="0.25">
      <c r="A2" s="13" t="s">
        <v>38</v>
      </c>
      <c r="B2" s="13"/>
      <c r="C2" s="13"/>
      <c r="D2" s="13"/>
      <c r="E2" s="13"/>
      <c r="F2" s="13"/>
      <c r="G2" s="13"/>
      <c r="H2" s="13"/>
    </row>
    <row r="4" spans="1:10" ht="25.5" customHeight="1" x14ac:dyDescent="0.25">
      <c r="A4" s="10" t="s">
        <v>39</v>
      </c>
      <c r="B4" s="10"/>
      <c r="C4" s="10"/>
      <c r="D4" s="10"/>
      <c r="E4" s="10"/>
      <c r="F4" s="10"/>
      <c r="G4" s="10"/>
      <c r="H4" s="10"/>
    </row>
    <row r="5" spans="1:10" ht="31.5" customHeight="1" x14ac:dyDescent="0.25">
      <c r="A5" s="9" t="s">
        <v>40</v>
      </c>
      <c r="B5" s="9"/>
      <c r="C5" s="9"/>
      <c r="D5" s="9"/>
      <c r="E5" s="9"/>
      <c r="F5" s="9"/>
      <c r="G5" s="9"/>
      <c r="H5" s="9"/>
    </row>
    <row r="6" spans="1:10" ht="25.5" customHeight="1" thickBot="1" x14ac:dyDescent="0.3">
      <c r="A6" s="34" t="s">
        <v>41</v>
      </c>
      <c r="B6" s="34" t="s">
        <v>42</v>
      </c>
      <c r="C6" s="34" t="s">
        <v>43</v>
      </c>
      <c r="D6" s="34" t="s">
        <v>44</v>
      </c>
      <c r="E6" s="34" t="s">
        <v>45</v>
      </c>
      <c r="F6" s="34" t="s">
        <v>46</v>
      </c>
      <c r="G6" s="35" t="s">
        <v>47</v>
      </c>
      <c r="H6" s="36" t="s">
        <v>48</v>
      </c>
      <c r="J6" s="37" t="s">
        <v>49</v>
      </c>
    </row>
    <row r="7" spans="1:10" ht="27.75" customHeight="1" thickBot="1" x14ac:dyDescent="0.3">
      <c r="A7" s="39" t="s">
        <v>51</v>
      </c>
      <c r="B7" s="39" t="s">
        <v>52</v>
      </c>
      <c r="C7" s="39" t="s">
        <v>53</v>
      </c>
      <c r="D7" s="39" t="s">
        <v>54</v>
      </c>
      <c r="E7" s="40">
        <v>20</v>
      </c>
      <c r="F7" s="40">
        <v>22</v>
      </c>
      <c r="G7" s="41">
        <f>(F7/E7)*100</f>
        <v>110.00000000000001</v>
      </c>
      <c r="H7" s="42" t="str">
        <f>IF(G7&gt;=100,"On Track",IF(G7&gt;=80,"Watch","Below Target"))</f>
        <v>On Track</v>
      </c>
      <c r="J7" s="38" t="s">
        <v>50</v>
      </c>
    </row>
    <row r="8" spans="1:10" ht="27.75" customHeight="1" thickBot="1" x14ac:dyDescent="0.3">
      <c r="A8" s="44" t="s">
        <v>56</v>
      </c>
      <c r="B8" s="44" t="s">
        <v>52</v>
      </c>
      <c r="C8" s="44" t="s">
        <v>57</v>
      </c>
      <c r="D8" s="44" t="s">
        <v>54</v>
      </c>
      <c r="E8" s="45">
        <v>25</v>
      </c>
      <c r="F8" s="45">
        <v>28</v>
      </c>
      <c r="G8" s="41">
        <f t="shared" ref="G8:G71" si="0">(F8/E8)*100</f>
        <v>112.00000000000001</v>
      </c>
      <c r="H8" s="42" t="str">
        <f t="shared" ref="H8:H71" si="1">IF(G8&gt;=100,"On Track",IF(G8&gt;=80,"Watch","Below Target"))</f>
        <v>On Track</v>
      </c>
      <c r="J8" s="43" t="s">
        <v>55</v>
      </c>
    </row>
    <row r="9" spans="1:10" ht="27.75" customHeight="1" thickBot="1" x14ac:dyDescent="0.3">
      <c r="A9" s="39" t="s">
        <v>59</v>
      </c>
      <c r="B9" s="39" t="s">
        <v>52</v>
      </c>
      <c r="C9" s="39" t="s">
        <v>60</v>
      </c>
      <c r="D9" s="39" t="s">
        <v>54</v>
      </c>
      <c r="E9" s="40">
        <v>15</v>
      </c>
      <c r="F9" s="40">
        <v>14</v>
      </c>
      <c r="G9" s="41">
        <f t="shared" si="0"/>
        <v>93.333333333333329</v>
      </c>
      <c r="H9" s="42" t="str">
        <f t="shared" si="1"/>
        <v>Watch</v>
      </c>
      <c r="J9" s="46" t="s">
        <v>58</v>
      </c>
    </row>
    <row r="10" spans="1:10" ht="27.75" customHeight="1" thickBot="1" x14ac:dyDescent="0.3">
      <c r="A10" s="44" t="s">
        <v>62</v>
      </c>
      <c r="B10" s="44" t="s">
        <v>52</v>
      </c>
      <c r="C10" s="44" t="s">
        <v>63</v>
      </c>
      <c r="D10" s="44" t="s">
        <v>54</v>
      </c>
      <c r="E10" s="45">
        <v>30</v>
      </c>
      <c r="F10" s="45">
        <v>32</v>
      </c>
      <c r="G10" s="41">
        <f t="shared" si="0"/>
        <v>106.66666666666667</v>
      </c>
      <c r="H10" s="42" t="str">
        <f t="shared" si="1"/>
        <v>On Track</v>
      </c>
      <c r="J10" s="43" t="s">
        <v>61</v>
      </c>
    </row>
    <row r="11" spans="1:10" ht="27.75" customHeight="1" thickBot="1" x14ac:dyDescent="0.3">
      <c r="A11" s="39" t="s">
        <v>65</v>
      </c>
      <c r="B11" s="39" t="s">
        <v>66</v>
      </c>
      <c r="C11" s="39" t="s">
        <v>53</v>
      </c>
      <c r="D11" s="39" t="s">
        <v>54</v>
      </c>
      <c r="E11" s="40">
        <v>18</v>
      </c>
      <c r="F11" s="40">
        <v>16</v>
      </c>
      <c r="G11" s="41">
        <f t="shared" si="0"/>
        <v>88.888888888888886</v>
      </c>
      <c r="H11" s="42" t="str">
        <f t="shared" si="1"/>
        <v>Watch</v>
      </c>
      <c r="J11" s="46" t="s">
        <v>64</v>
      </c>
    </row>
    <row r="12" spans="1:10" ht="27.75" customHeight="1" thickBot="1" x14ac:dyDescent="0.3">
      <c r="A12" s="44" t="s">
        <v>68</v>
      </c>
      <c r="B12" s="44" t="s">
        <v>66</v>
      </c>
      <c r="C12" s="44" t="s">
        <v>57</v>
      </c>
      <c r="D12" s="44" t="s">
        <v>54</v>
      </c>
      <c r="E12" s="45">
        <v>22</v>
      </c>
      <c r="F12" s="45">
        <v>20</v>
      </c>
      <c r="G12" s="41">
        <f t="shared" si="0"/>
        <v>90.909090909090907</v>
      </c>
      <c r="H12" s="42" t="str">
        <f t="shared" si="1"/>
        <v>Watch</v>
      </c>
      <c r="J12" s="38" t="s">
        <v>67</v>
      </c>
    </row>
    <row r="13" spans="1:10" ht="27.75" customHeight="1" thickBot="1" x14ac:dyDescent="0.3">
      <c r="A13" s="39" t="s">
        <v>70</v>
      </c>
      <c r="B13" s="39" t="s">
        <v>66</v>
      </c>
      <c r="C13" s="39" t="s">
        <v>60</v>
      </c>
      <c r="D13" s="39" t="s">
        <v>54</v>
      </c>
      <c r="E13" s="40">
        <v>25</v>
      </c>
      <c r="F13" s="40">
        <v>18</v>
      </c>
      <c r="G13" s="41">
        <f t="shared" si="0"/>
        <v>72</v>
      </c>
      <c r="H13" s="42" t="str">
        <f t="shared" si="1"/>
        <v>Below Target</v>
      </c>
      <c r="J13" s="46" t="s">
        <v>69</v>
      </c>
    </row>
    <row r="14" spans="1:10" ht="27.75" customHeight="1" thickBot="1" x14ac:dyDescent="0.3">
      <c r="A14" s="44" t="s">
        <v>71</v>
      </c>
      <c r="B14" s="44" t="s">
        <v>66</v>
      </c>
      <c r="C14" s="44" t="s">
        <v>63</v>
      </c>
      <c r="D14" s="44" t="s">
        <v>54</v>
      </c>
      <c r="E14" s="45">
        <v>28</v>
      </c>
      <c r="F14" s="45">
        <v>30</v>
      </c>
      <c r="G14" s="41">
        <f t="shared" si="0"/>
        <v>107.14285714285714</v>
      </c>
      <c r="H14" s="42" t="str">
        <f t="shared" si="1"/>
        <v>On Track</v>
      </c>
      <c r="J14" s="47" t="str">
        <f>IF(G7&gt;=100,"On Track",IF(G7&gt;=80,"Watch","Below Target"))</f>
        <v>On Track</v>
      </c>
    </row>
    <row r="15" spans="1:10" ht="27.75" customHeight="1" thickBot="1" x14ac:dyDescent="0.3">
      <c r="A15" s="39" t="s">
        <v>73</v>
      </c>
      <c r="B15" s="39" t="s">
        <v>74</v>
      </c>
      <c r="C15" s="39" t="s">
        <v>53</v>
      </c>
      <c r="D15" s="39" t="s">
        <v>54</v>
      </c>
      <c r="E15" s="40">
        <v>20</v>
      </c>
      <c r="F15" s="40">
        <v>21</v>
      </c>
      <c r="G15" s="41">
        <f t="shared" si="0"/>
        <v>105</v>
      </c>
      <c r="H15" s="42" t="str">
        <f t="shared" si="1"/>
        <v>On Track</v>
      </c>
      <c r="J15" s="46" t="s">
        <v>72</v>
      </c>
    </row>
    <row r="16" spans="1:10" ht="27.75" customHeight="1" thickBot="1" x14ac:dyDescent="0.3">
      <c r="A16" s="44" t="s">
        <v>76</v>
      </c>
      <c r="B16" s="44" t="s">
        <v>74</v>
      </c>
      <c r="C16" s="44" t="s">
        <v>57</v>
      </c>
      <c r="D16" s="44" t="s">
        <v>54</v>
      </c>
      <c r="E16" s="45">
        <v>35</v>
      </c>
      <c r="F16" s="45">
        <v>40</v>
      </c>
      <c r="G16" s="41">
        <f t="shared" si="0"/>
        <v>114.28571428571428</v>
      </c>
      <c r="H16" s="42" t="str">
        <f t="shared" si="1"/>
        <v>On Track</v>
      </c>
      <c r="J16" s="43" t="s">
        <v>75</v>
      </c>
    </row>
    <row r="17" spans="1:10" ht="27.75" customHeight="1" thickBot="1" x14ac:dyDescent="0.3">
      <c r="A17" s="39" t="s">
        <v>78</v>
      </c>
      <c r="B17" s="39" t="s">
        <v>74</v>
      </c>
      <c r="C17" s="39" t="s">
        <v>60</v>
      </c>
      <c r="D17" s="39" t="s">
        <v>54</v>
      </c>
      <c r="E17" s="40">
        <v>20</v>
      </c>
      <c r="F17" s="40">
        <v>19</v>
      </c>
      <c r="G17" s="41">
        <f t="shared" si="0"/>
        <v>95</v>
      </c>
      <c r="H17" s="42" t="str">
        <f t="shared" si="1"/>
        <v>Watch</v>
      </c>
      <c r="J17" s="38" t="s">
        <v>77</v>
      </c>
    </row>
    <row r="18" spans="1:10" ht="27.75" customHeight="1" thickBot="1" x14ac:dyDescent="0.3">
      <c r="A18" s="44" t="s">
        <v>80</v>
      </c>
      <c r="B18" s="44" t="s">
        <v>74</v>
      </c>
      <c r="C18" s="44" t="s">
        <v>63</v>
      </c>
      <c r="D18" s="44" t="s">
        <v>54</v>
      </c>
      <c r="E18" s="45">
        <v>25</v>
      </c>
      <c r="F18" s="45">
        <v>27</v>
      </c>
      <c r="G18" s="41">
        <f t="shared" si="0"/>
        <v>108</v>
      </c>
      <c r="H18" s="42" t="str">
        <f t="shared" si="1"/>
        <v>On Track</v>
      </c>
      <c r="J18" s="43" t="s">
        <v>79</v>
      </c>
    </row>
    <row r="19" spans="1:10" ht="27.75" customHeight="1" thickBot="1" x14ac:dyDescent="0.3">
      <c r="A19" s="39" t="s">
        <v>82</v>
      </c>
      <c r="B19" s="39" t="s">
        <v>83</v>
      </c>
      <c r="C19" s="39" t="s">
        <v>53</v>
      </c>
      <c r="D19" s="39" t="s">
        <v>54</v>
      </c>
      <c r="E19" s="40">
        <v>22</v>
      </c>
      <c r="F19" s="40">
        <v>24</v>
      </c>
      <c r="G19" s="41">
        <f t="shared" si="0"/>
        <v>109.09090909090908</v>
      </c>
      <c r="H19" s="42" t="str">
        <f t="shared" si="1"/>
        <v>On Track</v>
      </c>
      <c r="J19" s="46" t="s">
        <v>81</v>
      </c>
    </row>
    <row r="20" spans="1:10" ht="27.75" customHeight="1" thickBot="1" x14ac:dyDescent="0.3">
      <c r="A20" s="44" t="s">
        <v>85</v>
      </c>
      <c r="B20" s="44" t="s">
        <v>83</v>
      </c>
      <c r="C20" s="44" t="s">
        <v>57</v>
      </c>
      <c r="D20" s="44" t="s">
        <v>54</v>
      </c>
      <c r="E20" s="45">
        <v>30</v>
      </c>
      <c r="F20" s="45">
        <v>28</v>
      </c>
      <c r="G20" s="41">
        <f t="shared" si="0"/>
        <v>93.333333333333329</v>
      </c>
      <c r="H20" s="42" t="str">
        <f t="shared" si="1"/>
        <v>Watch</v>
      </c>
      <c r="J20" s="43" t="s">
        <v>84</v>
      </c>
    </row>
    <row r="21" spans="1:10" ht="27.75" customHeight="1" thickBot="1" x14ac:dyDescent="0.3">
      <c r="A21" s="39" t="s">
        <v>87</v>
      </c>
      <c r="B21" s="39" t="s">
        <v>83</v>
      </c>
      <c r="C21" s="39" t="s">
        <v>60</v>
      </c>
      <c r="D21" s="39" t="s">
        <v>54</v>
      </c>
      <c r="E21" s="40">
        <v>18</v>
      </c>
      <c r="F21" s="40">
        <v>20</v>
      </c>
      <c r="G21" s="41">
        <f t="shared" si="0"/>
        <v>111.11111111111111</v>
      </c>
      <c r="H21" s="42" t="str">
        <f t="shared" si="1"/>
        <v>On Track</v>
      </c>
      <c r="J21" s="46" t="s">
        <v>86</v>
      </c>
    </row>
    <row r="22" spans="1:10" ht="27.75" customHeight="1" thickBot="1" x14ac:dyDescent="0.3">
      <c r="A22" s="44" t="s">
        <v>89</v>
      </c>
      <c r="B22" s="44" t="s">
        <v>83</v>
      </c>
      <c r="C22" s="44" t="s">
        <v>63</v>
      </c>
      <c r="D22" s="44" t="s">
        <v>54</v>
      </c>
      <c r="E22" s="45">
        <v>26</v>
      </c>
      <c r="F22" s="45">
        <v>25</v>
      </c>
      <c r="G22" s="41">
        <f t="shared" si="0"/>
        <v>96.15384615384616</v>
      </c>
      <c r="H22" s="42" t="str">
        <f t="shared" si="1"/>
        <v>Watch</v>
      </c>
      <c r="J22" s="38" t="s">
        <v>88</v>
      </c>
    </row>
    <row r="23" spans="1:10" ht="27.75" customHeight="1" thickBot="1" x14ac:dyDescent="0.3">
      <c r="A23" s="39" t="s">
        <v>91</v>
      </c>
      <c r="B23" s="39" t="s">
        <v>92</v>
      </c>
      <c r="C23" s="39" t="s">
        <v>53</v>
      </c>
      <c r="D23" s="39" t="s">
        <v>54</v>
      </c>
      <c r="E23" s="40">
        <v>24</v>
      </c>
      <c r="F23" s="40">
        <v>23</v>
      </c>
      <c r="G23" s="41">
        <f t="shared" si="0"/>
        <v>95.833333333333343</v>
      </c>
      <c r="H23" s="42" t="str">
        <f t="shared" si="1"/>
        <v>Watch</v>
      </c>
      <c r="J23" s="38" t="s">
        <v>90</v>
      </c>
    </row>
    <row r="24" spans="1:10" ht="15.75" customHeight="1" thickBot="1" x14ac:dyDescent="0.3">
      <c r="A24" s="44" t="s">
        <v>93</v>
      </c>
      <c r="B24" s="44" t="s">
        <v>92</v>
      </c>
      <c r="C24" s="44" t="s">
        <v>57</v>
      </c>
      <c r="D24" s="44" t="s">
        <v>54</v>
      </c>
      <c r="E24" s="45">
        <v>28</v>
      </c>
      <c r="F24" s="45">
        <v>27</v>
      </c>
      <c r="G24" s="41">
        <f t="shared" si="0"/>
        <v>96.428571428571431</v>
      </c>
      <c r="H24" s="42" t="str">
        <f t="shared" si="1"/>
        <v>Watch</v>
      </c>
    </row>
    <row r="25" spans="1:10" ht="15.75" customHeight="1" thickBot="1" x14ac:dyDescent="0.3">
      <c r="A25" s="39" t="s">
        <v>94</v>
      </c>
      <c r="B25" s="39" t="s">
        <v>92</v>
      </c>
      <c r="C25" s="39" t="s">
        <v>60</v>
      </c>
      <c r="D25" s="39" t="s">
        <v>54</v>
      </c>
      <c r="E25" s="40">
        <v>22</v>
      </c>
      <c r="F25" s="40">
        <v>21</v>
      </c>
      <c r="G25" s="41">
        <f t="shared" si="0"/>
        <v>95.454545454545453</v>
      </c>
      <c r="H25" s="42" t="str">
        <f t="shared" si="1"/>
        <v>Watch</v>
      </c>
    </row>
    <row r="26" spans="1:10" ht="15.75" customHeight="1" thickBot="1" x14ac:dyDescent="0.3">
      <c r="A26" s="44" t="s">
        <v>95</v>
      </c>
      <c r="B26" s="44" t="s">
        <v>92</v>
      </c>
      <c r="C26" s="44" t="s">
        <v>63</v>
      </c>
      <c r="D26" s="44" t="s">
        <v>54</v>
      </c>
      <c r="E26" s="45">
        <v>30</v>
      </c>
      <c r="F26" s="45">
        <v>26</v>
      </c>
      <c r="G26" s="41">
        <f t="shared" si="0"/>
        <v>86.666666666666671</v>
      </c>
      <c r="H26" s="42" t="str">
        <f t="shared" si="1"/>
        <v>Watch</v>
      </c>
    </row>
    <row r="27" spans="1:10" ht="15.75" customHeight="1" thickBot="1" x14ac:dyDescent="0.3">
      <c r="A27" s="39" t="s">
        <v>96</v>
      </c>
      <c r="B27" s="39" t="s">
        <v>52</v>
      </c>
      <c r="C27" s="39" t="s">
        <v>53</v>
      </c>
      <c r="D27" s="39" t="s">
        <v>97</v>
      </c>
      <c r="E27" s="40">
        <v>22</v>
      </c>
      <c r="F27" s="40">
        <v>23</v>
      </c>
      <c r="G27" s="41">
        <f t="shared" si="0"/>
        <v>104.54545454545455</v>
      </c>
      <c r="H27" s="42" t="str">
        <f t="shared" si="1"/>
        <v>On Track</v>
      </c>
    </row>
    <row r="28" spans="1:10" ht="15.75" customHeight="1" thickBot="1" x14ac:dyDescent="0.3">
      <c r="A28" s="44" t="s">
        <v>98</v>
      </c>
      <c r="B28" s="44" t="s">
        <v>52</v>
      </c>
      <c r="C28" s="44" t="s">
        <v>57</v>
      </c>
      <c r="D28" s="44" t="s">
        <v>97</v>
      </c>
      <c r="E28" s="45">
        <v>26</v>
      </c>
      <c r="F28" s="45">
        <v>27</v>
      </c>
      <c r="G28" s="41">
        <f t="shared" si="0"/>
        <v>103.84615384615385</v>
      </c>
      <c r="H28" s="42" t="str">
        <f t="shared" si="1"/>
        <v>On Track</v>
      </c>
    </row>
    <row r="29" spans="1:10" ht="15.75" customHeight="1" thickBot="1" x14ac:dyDescent="0.3">
      <c r="A29" s="39" t="s">
        <v>99</v>
      </c>
      <c r="B29" s="39" t="s">
        <v>52</v>
      </c>
      <c r="C29" s="39" t="s">
        <v>60</v>
      </c>
      <c r="D29" s="39" t="s">
        <v>97</v>
      </c>
      <c r="E29" s="40">
        <v>16</v>
      </c>
      <c r="F29" s="40">
        <v>15</v>
      </c>
      <c r="G29" s="41">
        <f t="shared" si="0"/>
        <v>93.75</v>
      </c>
      <c r="H29" s="42" t="str">
        <f t="shared" si="1"/>
        <v>Watch</v>
      </c>
    </row>
    <row r="30" spans="1:10" ht="15.75" customHeight="1" thickBot="1" x14ac:dyDescent="0.3">
      <c r="A30" s="44" t="s">
        <v>100</v>
      </c>
      <c r="B30" s="44" t="s">
        <v>52</v>
      </c>
      <c r="C30" s="44" t="s">
        <v>63</v>
      </c>
      <c r="D30" s="44" t="s">
        <v>97</v>
      </c>
      <c r="E30" s="45">
        <v>32</v>
      </c>
      <c r="F30" s="45">
        <v>34</v>
      </c>
      <c r="G30" s="41">
        <f t="shared" si="0"/>
        <v>106.25</v>
      </c>
      <c r="H30" s="42" t="str">
        <f t="shared" si="1"/>
        <v>On Track</v>
      </c>
    </row>
    <row r="31" spans="1:10" ht="15.75" customHeight="1" thickBot="1" x14ac:dyDescent="0.3">
      <c r="A31" s="39" t="s">
        <v>101</v>
      </c>
      <c r="B31" s="39" t="s">
        <v>66</v>
      </c>
      <c r="C31" s="39" t="s">
        <v>53</v>
      </c>
      <c r="D31" s="39" t="s">
        <v>97</v>
      </c>
      <c r="E31" s="40">
        <v>19</v>
      </c>
      <c r="F31" s="40">
        <v>17</v>
      </c>
      <c r="G31" s="41">
        <f t="shared" si="0"/>
        <v>89.473684210526315</v>
      </c>
      <c r="H31" s="42" t="str">
        <f t="shared" si="1"/>
        <v>Watch</v>
      </c>
    </row>
    <row r="32" spans="1:10" ht="15.75" customHeight="1" thickBot="1" x14ac:dyDescent="0.3">
      <c r="A32" s="44" t="s">
        <v>102</v>
      </c>
      <c r="B32" s="44" t="s">
        <v>66</v>
      </c>
      <c r="C32" s="44" t="s">
        <v>57</v>
      </c>
      <c r="D32" s="44" t="s">
        <v>97</v>
      </c>
      <c r="E32" s="45">
        <v>23</v>
      </c>
      <c r="F32" s="45">
        <v>21</v>
      </c>
      <c r="G32" s="41">
        <f t="shared" si="0"/>
        <v>91.304347826086953</v>
      </c>
      <c r="H32" s="42" t="str">
        <f t="shared" si="1"/>
        <v>Watch</v>
      </c>
    </row>
    <row r="33" spans="1:8" ht="15.75" customHeight="1" thickBot="1" x14ac:dyDescent="0.3">
      <c r="A33" s="39" t="s">
        <v>103</v>
      </c>
      <c r="B33" s="39" t="s">
        <v>66</v>
      </c>
      <c r="C33" s="39" t="s">
        <v>60</v>
      </c>
      <c r="D33" s="39" t="s">
        <v>97</v>
      </c>
      <c r="E33" s="40">
        <v>26</v>
      </c>
      <c r="F33" s="40">
        <v>20</v>
      </c>
      <c r="G33" s="41">
        <f t="shared" si="0"/>
        <v>76.923076923076934</v>
      </c>
      <c r="H33" s="42" t="str">
        <f t="shared" si="1"/>
        <v>Below Target</v>
      </c>
    </row>
    <row r="34" spans="1:8" ht="15.75" customHeight="1" thickBot="1" x14ac:dyDescent="0.3">
      <c r="A34" s="44" t="s">
        <v>104</v>
      </c>
      <c r="B34" s="44" t="s">
        <v>66</v>
      </c>
      <c r="C34" s="44" t="s">
        <v>63</v>
      </c>
      <c r="D34" s="44" t="s">
        <v>97</v>
      </c>
      <c r="E34" s="45">
        <v>29</v>
      </c>
      <c r="F34" s="45">
        <v>31</v>
      </c>
      <c r="G34" s="41">
        <f t="shared" si="0"/>
        <v>106.89655172413792</v>
      </c>
      <c r="H34" s="42" t="str">
        <f t="shared" si="1"/>
        <v>On Track</v>
      </c>
    </row>
    <row r="35" spans="1:8" ht="15.75" customHeight="1" thickBot="1" x14ac:dyDescent="0.3">
      <c r="A35" s="39" t="s">
        <v>105</v>
      </c>
      <c r="B35" s="39" t="s">
        <v>74</v>
      </c>
      <c r="C35" s="39" t="s">
        <v>53</v>
      </c>
      <c r="D35" s="39" t="s">
        <v>97</v>
      </c>
      <c r="E35" s="40">
        <v>21</v>
      </c>
      <c r="F35" s="40">
        <v>22</v>
      </c>
      <c r="G35" s="41">
        <f t="shared" si="0"/>
        <v>104.76190476190477</v>
      </c>
      <c r="H35" s="42" t="str">
        <f t="shared" si="1"/>
        <v>On Track</v>
      </c>
    </row>
    <row r="36" spans="1:8" ht="15.75" customHeight="1" thickBot="1" x14ac:dyDescent="0.3">
      <c r="A36" s="44" t="s">
        <v>106</v>
      </c>
      <c r="B36" s="44" t="s">
        <v>74</v>
      </c>
      <c r="C36" s="44" t="s">
        <v>57</v>
      </c>
      <c r="D36" s="44" t="s">
        <v>97</v>
      </c>
      <c r="E36" s="45">
        <v>36</v>
      </c>
      <c r="F36" s="45">
        <v>42</v>
      </c>
      <c r="G36" s="41">
        <f t="shared" si="0"/>
        <v>116.66666666666667</v>
      </c>
      <c r="H36" s="42" t="str">
        <f t="shared" si="1"/>
        <v>On Track</v>
      </c>
    </row>
    <row r="37" spans="1:8" ht="15.75" customHeight="1" thickBot="1" x14ac:dyDescent="0.3">
      <c r="A37" s="39" t="s">
        <v>107</v>
      </c>
      <c r="B37" s="39" t="s">
        <v>74</v>
      </c>
      <c r="C37" s="39" t="s">
        <v>60</v>
      </c>
      <c r="D37" s="39" t="s">
        <v>97</v>
      </c>
      <c r="E37" s="40">
        <v>21</v>
      </c>
      <c r="F37" s="40">
        <v>20</v>
      </c>
      <c r="G37" s="41">
        <f t="shared" si="0"/>
        <v>95.238095238095227</v>
      </c>
      <c r="H37" s="42" t="str">
        <f t="shared" si="1"/>
        <v>Watch</v>
      </c>
    </row>
    <row r="38" spans="1:8" ht="15.75" customHeight="1" thickBot="1" x14ac:dyDescent="0.3">
      <c r="A38" s="44" t="s">
        <v>108</v>
      </c>
      <c r="B38" s="44" t="s">
        <v>74</v>
      </c>
      <c r="C38" s="44" t="s">
        <v>63</v>
      </c>
      <c r="D38" s="44" t="s">
        <v>97</v>
      </c>
      <c r="E38" s="45">
        <v>26</v>
      </c>
      <c r="F38" s="45">
        <v>28</v>
      </c>
      <c r="G38" s="41">
        <f t="shared" si="0"/>
        <v>107.69230769230769</v>
      </c>
      <c r="H38" s="42" t="str">
        <f t="shared" si="1"/>
        <v>On Track</v>
      </c>
    </row>
    <row r="39" spans="1:8" ht="15.75" customHeight="1" thickBot="1" x14ac:dyDescent="0.3">
      <c r="A39" s="39" t="s">
        <v>109</v>
      </c>
      <c r="B39" s="39" t="s">
        <v>83</v>
      </c>
      <c r="C39" s="39" t="s">
        <v>53</v>
      </c>
      <c r="D39" s="39" t="s">
        <v>97</v>
      </c>
      <c r="E39" s="40">
        <v>23</v>
      </c>
      <c r="F39" s="40">
        <v>25</v>
      </c>
      <c r="G39" s="41">
        <f t="shared" si="0"/>
        <v>108.69565217391303</v>
      </c>
      <c r="H39" s="42" t="str">
        <f t="shared" si="1"/>
        <v>On Track</v>
      </c>
    </row>
    <row r="40" spans="1:8" ht="15.75" customHeight="1" thickBot="1" x14ac:dyDescent="0.3">
      <c r="A40" s="44" t="s">
        <v>110</v>
      </c>
      <c r="B40" s="44" t="s">
        <v>83</v>
      </c>
      <c r="C40" s="44" t="s">
        <v>57</v>
      </c>
      <c r="D40" s="44" t="s">
        <v>97</v>
      </c>
      <c r="E40" s="45">
        <v>31</v>
      </c>
      <c r="F40" s="45">
        <v>29</v>
      </c>
      <c r="G40" s="41">
        <f t="shared" si="0"/>
        <v>93.548387096774192</v>
      </c>
      <c r="H40" s="42" t="str">
        <f t="shared" si="1"/>
        <v>Watch</v>
      </c>
    </row>
    <row r="41" spans="1:8" ht="15.75" customHeight="1" thickBot="1" x14ac:dyDescent="0.3">
      <c r="A41" s="39" t="s">
        <v>111</v>
      </c>
      <c r="B41" s="39" t="s">
        <v>83</v>
      </c>
      <c r="C41" s="39" t="s">
        <v>60</v>
      </c>
      <c r="D41" s="39" t="s">
        <v>97</v>
      </c>
      <c r="E41" s="40">
        <v>19</v>
      </c>
      <c r="F41" s="40">
        <v>21</v>
      </c>
      <c r="G41" s="41">
        <f t="shared" si="0"/>
        <v>110.5263157894737</v>
      </c>
      <c r="H41" s="42" t="str">
        <f t="shared" si="1"/>
        <v>On Track</v>
      </c>
    </row>
    <row r="42" spans="1:8" ht="15.75" customHeight="1" thickBot="1" x14ac:dyDescent="0.3">
      <c r="A42" s="44" t="s">
        <v>112</v>
      </c>
      <c r="B42" s="44" t="s">
        <v>83</v>
      </c>
      <c r="C42" s="44" t="s">
        <v>63</v>
      </c>
      <c r="D42" s="44" t="s">
        <v>97</v>
      </c>
      <c r="E42" s="45">
        <v>27</v>
      </c>
      <c r="F42" s="45">
        <v>26</v>
      </c>
      <c r="G42" s="41">
        <f t="shared" si="0"/>
        <v>96.296296296296291</v>
      </c>
      <c r="H42" s="42" t="str">
        <f t="shared" si="1"/>
        <v>Watch</v>
      </c>
    </row>
    <row r="43" spans="1:8" ht="15.75" customHeight="1" thickBot="1" x14ac:dyDescent="0.3">
      <c r="A43" s="39" t="s">
        <v>113</v>
      </c>
      <c r="B43" s="39" t="s">
        <v>92</v>
      </c>
      <c r="C43" s="39" t="s">
        <v>53</v>
      </c>
      <c r="D43" s="39" t="s">
        <v>97</v>
      </c>
      <c r="E43" s="40">
        <v>25</v>
      </c>
      <c r="F43" s="40">
        <v>24</v>
      </c>
      <c r="G43" s="41">
        <f t="shared" si="0"/>
        <v>96</v>
      </c>
      <c r="H43" s="42" t="str">
        <f t="shared" si="1"/>
        <v>Watch</v>
      </c>
    </row>
    <row r="44" spans="1:8" ht="15.75" customHeight="1" thickBot="1" x14ac:dyDescent="0.3">
      <c r="A44" s="44" t="s">
        <v>114</v>
      </c>
      <c r="B44" s="44" t="s">
        <v>92</v>
      </c>
      <c r="C44" s="44" t="s">
        <v>57</v>
      </c>
      <c r="D44" s="44" t="s">
        <v>97</v>
      </c>
      <c r="E44" s="45">
        <v>29</v>
      </c>
      <c r="F44" s="45">
        <v>28</v>
      </c>
      <c r="G44" s="41">
        <f t="shared" si="0"/>
        <v>96.551724137931032</v>
      </c>
      <c r="H44" s="42" t="str">
        <f t="shared" si="1"/>
        <v>Watch</v>
      </c>
    </row>
    <row r="45" spans="1:8" ht="15.75" customHeight="1" thickBot="1" x14ac:dyDescent="0.3">
      <c r="A45" s="39" t="s">
        <v>115</v>
      </c>
      <c r="B45" s="39" t="s">
        <v>92</v>
      </c>
      <c r="C45" s="39" t="s">
        <v>60</v>
      </c>
      <c r="D45" s="39" t="s">
        <v>97</v>
      </c>
      <c r="E45" s="40">
        <v>23</v>
      </c>
      <c r="F45" s="40">
        <v>22</v>
      </c>
      <c r="G45" s="41">
        <f t="shared" si="0"/>
        <v>95.652173913043484</v>
      </c>
      <c r="H45" s="42" t="str">
        <f t="shared" si="1"/>
        <v>Watch</v>
      </c>
    </row>
    <row r="46" spans="1:8" ht="15.75" customHeight="1" thickBot="1" x14ac:dyDescent="0.3">
      <c r="A46" s="44" t="s">
        <v>116</v>
      </c>
      <c r="B46" s="44" t="s">
        <v>92</v>
      </c>
      <c r="C46" s="44" t="s">
        <v>63</v>
      </c>
      <c r="D46" s="44" t="s">
        <v>97</v>
      </c>
      <c r="E46" s="45">
        <v>31</v>
      </c>
      <c r="F46" s="45">
        <v>27</v>
      </c>
      <c r="G46" s="41">
        <f t="shared" si="0"/>
        <v>87.096774193548384</v>
      </c>
      <c r="H46" s="42" t="str">
        <f t="shared" si="1"/>
        <v>Watch</v>
      </c>
    </row>
    <row r="47" spans="1:8" ht="15.75" customHeight="1" thickBot="1" x14ac:dyDescent="0.3">
      <c r="A47" s="39" t="s">
        <v>117</v>
      </c>
      <c r="B47" s="39" t="s">
        <v>52</v>
      </c>
      <c r="C47" s="39" t="s">
        <v>53</v>
      </c>
      <c r="D47" s="39" t="s">
        <v>118</v>
      </c>
      <c r="E47" s="40">
        <v>23</v>
      </c>
      <c r="F47" s="40">
        <v>24</v>
      </c>
      <c r="G47" s="41">
        <f t="shared" si="0"/>
        <v>104.34782608695652</v>
      </c>
      <c r="H47" s="42" t="str">
        <f t="shared" si="1"/>
        <v>On Track</v>
      </c>
    </row>
    <row r="48" spans="1:8" ht="15.75" customHeight="1" thickBot="1" x14ac:dyDescent="0.3">
      <c r="A48" s="44" t="s">
        <v>119</v>
      </c>
      <c r="B48" s="44" t="s">
        <v>52</v>
      </c>
      <c r="C48" s="44" t="s">
        <v>57</v>
      </c>
      <c r="D48" s="44" t="s">
        <v>118</v>
      </c>
      <c r="E48" s="45">
        <v>27</v>
      </c>
      <c r="F48" s="45">
        <v>29</v>
      </c>
      <c r="G48" s="41">
        <f t="shared" si="0"/>
        <v>107.40740740740742</v>
      </c>
      <c r="H48" s="42" t="str">
        <f t="shared" si="1"/>
        <v>On Track</v>
      </c>
    </row>
    <row r="49" spans="1:8" ht="15.75" customHeight="1" thickBot="1" x14ac:dyDescent="0.3">
      <c r="A49" s="39" t="s">
        <v>120</v>
      </c>
      <c r="B49" s="39" t="s">
        <v>52</v>
      </c>
      <c r="C49" s="39" t="s">
        <v>60</v>
      </c>
      <c r="D49" s="39" t="s">
        <v>118</v>
      </c>
      <c r="E49" s="40">
        <v>17</v>
      </c>
      <c r="F49" s="40">
        <v>16</v>
      </c>
      <c r="G49" s="41">
        <f t="shared" si="0"/>
        <v>94.117647058823522</v>
      </c>
      <c r="H49" s="42" t="str">
        <f t="shared" si="1"/>
        <v>Watch</v>
      </c>
    </row>
    <row r="50" spans="1:8" ht="15.75" customHeight="1" thickBot="1" x14ac:dyDescent="0.3">
      <c r="A50" s="44" t="s">
        <v>121</v>
      </c>
      <c r="B50" s="44" t="s">
        <v>52</v>
      </c>
      <c r="C50" s="44" t="s">
        <v>63</v>
      </c>
      <c r="D50" s="44" t="s">
        <v>118</v>
      </c>
      <c r="E50" s="45">
        <v>33</v>
      </c>
      <c r="F50" s="45">
        <v>35</v>
      </c>
      <c r="G50" s="41">
        <f t="shared" si="0"/>
        <v>106.06060606060606</v>
      </c>
      <c r="H50" s="42" t="str">
        <f t="shared" si="1"/>
        <v>On Track</v>
      </c>
    </row>
    <row r="51" spans="1:8" ht="15.75" customHeight="1" thickBot="1" x14ac:dyDescent="0.3">
      <c r="A51" s="39" t="s">
        <v>122</v>
      </c>
      <c r="B51" s="39" t="s">
        <v>66</v>
      </c>
      <c r="C51" s="39" t="s">
        <v>53</v>
      </c>
      <c r="D51" s="39" t="s">
        <v>118</v>
      </c>
      <c r="E51" s="40">
        <v>20</v>
      </c>
      <c r="F51" s="40">
        <v>18</v>
      </c>
      <c r="G51" s="41">
        <f t="shared" si="0"/>
        <v>90</v>
      </c>
      <c r="H51" s="42" t="str">
        <f t="shared" si="1"/>
        <v>Watch</v>
      </c>
    </row>
    <row r="52" spans="1:8" ht="15.75" customHeight="1" thickBot="1" x14ac:dyDescent="0.3">
      <c r="A52" s="44" t="s">
        <v>123</v>
      </c>
      <c r="B52" s="44" t="s">
        <v>66</v>
      </c>
      <c r="C52" s="44" t="s">
        <v>57</v>
      </c>
      <c r="D52" s="44" t="s">
        <v>118</v>
      </c>
      <c r="E52" s="45">
        <v>24</v>
      </c>
      <c r="F52" s="45">
        <v>22</v>
      </c>
      <c r="G52" s="41">
        <f t="shared" si="0"/>
        <v>91.666666666666657</v>
      </c>
      <c r="H52" s="42" t="str">
        <f t="shared" si="1"/>
        <v>Watch</v>
      </c>
    </row>
    <row r="53" spans="1:8" ht="15.75" customHeight="1" thickBot="1" x14ac:dyDescent="0.3">
      <c r="A53" s="39" t="s">
        <v>124</v>
      </c>
      <c r="B53" s="39" t="s">
        <v>66</v>
      </c>
      <c r="C53" s="39" t="s">
        <v>60</v>
      </c>
      <c r="D53" s="39" t="s">
        <v>118</v>
      </c>
      <c r="E53" s="40">
        <v>27</v>
      </c>
      <c r="F53" s="40">
        <v>21</v>
      </c>
      <c r="G53" s="41">
        <f t="shared" si="0"/>
        <v>77.777777777777786</v>
      </c>
      <c r="H53" s="42" t="str">
        <f t="shared" si="1"/>
        <v>Below Target</v>
      </c>
    </row>
    <row r="54" spans="1:8" ht="15.75" customHeight="1" thickBot="1" x14ac:dyDescent="0.3">
      <c r="A54" s="44" t="s">
        <v>125</v>
      </c>
      <c r="B54" s="44" t="s">
        <v>66</v>
      </c>
      <c r="C54" s="44" t="s">
        <v>63</v>
      </c>
      <c r="D54" s="44" t="s">
        <v>118</v>
      </c>
      <c r="E54" s="45">
        <v>30</v>
      </c>
      <c r="F54" s="45">
        <v>32</v>
      </c>
      <c r="G54" s="41">
        <f t="shared" si="0"/>
        <v>106.66666666666667</v>
      </c>
      <c r="H54" s="42" t="str">
        <f t="shared" si="1"/>
        <v>On Track</v>
      </c>
    </row>
    <row r="55" spans="1:8" ht="15.75" customHeight="1" thickBot="1" x14ac:dyDescent="0.3">
      <c r="A55" s="39" t="s">
        <v>126</v>
      </c>
      <c r="B55" s="39" t="s">
        <v>74</v>
      </c>
      <c r="C55" s="39" t="s">
        <v>53</v>
      </c>
      <c r="D55" s="39" t="s">
        <v>118</v>
      </c>
      <c r="E55" s="40">
        <v>22</v>
      </c>
      <c r="F55" s="40">
        <v>23</v>
      </c>
      <c r="G55" s="41">
        <f t="shared" si="0"/>
        <v>104.54545454545455</v>
      </c>
      <c r="H55" s="42" t="str">
        <f t="shared" si="1"/>
        <v>On Track</v>
      </c>
    </row>
    <row r="56" spans="1:8" ht="15.75" customHeight="1" thickBot="1" x14ac:dyDescent="0.3">
      <c r="A56" s="44" t="s">
        <v>127</v>
      </c>
      <c r="B56" s="44" t="s">
        <v>74</v>
      </c>
      <c r="C56" s="44" t="s">
        <v>57</v>
      </c>
      <c r="D56" s="44" t="s">
        <v>118</v>
      </c>
      <c r="E56" s="45">
        <v>37</v>
      </c>
      <c r="F56" s="45">
        <v>43</v>
      </c>
      <c r="G56" s="41">
        <f t="shared" si="0"/>
        <v>116.21621621621621</v>
      </c>
      <c r="H56" s="42" t="str">
        <f t="shared" si="1"/>
        <v>On Track</v>
      </c>
    </row>
    <row r="57" spans="1:8" ht="15.75" customHeight="1" thickBot="1" x14ac:dyDescent="0.3">
      <c r="A57" s="39" t="s">
        <v>128</v>
      </c>
      <c r="B57" s="39" t="s">
        <v>74</v>
      </c>
      <c r="C57" s="39" t="s">
        <v>60</v>
      </c>
      <c r="D57" s="39" t="s">
        <v>118</v>
      </c>
      <c r="E57" s="40">
        <v>22</v>
      </c>
      <c r="F57" s="40">
        <v>21</v>
      </c>
      <c r="G57" s="41">
        <f t="shared" si="0"/>
        <v>95.454545454545453</v>
      </c>
      <c r="H57" s="42" t="str">
        <f t="shared" si="1"/>
        <v>Watch</v>
      </c>
    </row>
    <row r="58" spans="1:8" ht="15.75" customHeight="1" thickBot="1" x14ac:dyDescent="0.3">
      <c r="A58" s="44" t="s">
        <v>129</v>
      </c>
      <c r="B58" s="44" t="s">
        <v>74</v>
      </c>
      <c r="C58" s="44" t="s">
        <v>63</v>
      </c>
      <c r="D58" s="44" t="s">
        <v>118</v>
      </c>
      <c r="E58" s="45">
        <v>27</v>
      </c>
      <c r="F58" s="45">
        <v>29</v>
      </c>
      <c r="G58" s="41">
        <f t="shared" si="0"/>
        <v>107.40740740740742</v>
      </c>
      <c r="H58" s="42" t="str">
        <f t="shared" si="1"/>
        <v>On Track</v>
      </c>
    </row>
    <row r="59" spans="1:8" ht="15.75" customHeight="1" thickBot="1" x14ac:dyDescent="0.3">
      <c r="A59" s="39" t="s">
        <v>130</v>
      </c>
      <c r="B59" s="39" t="s">
        <v>83</v>
      </c>
      <c r="C59" s="39" t="s">
        <v>53</v>
      </c>
      <c r="D59" s="39" t="s">
        <v>118</v>
      </c>
      <c r="E59" s="40">
        <v>24</v>
      </c>
      <c r="F59" s="40">
        <v>26</v>
      </c>
      <c r="G59" s="41">
        <f t="shared" si="0"/>
        <v>108.33333333333333</v>
      </c>
      <c r="H59" s="42" t="str">
        <f t="shared" si="1"/>
        <v>On Track</v>
      </c>
    </row>
    <row r="60" spans="1:8" ht="15.75" customHeight="1" thickBot="1" x14ac:dyDescent="0.3">
      <c r="A60" s="44" t="s">
        <v>131</v>
      </c>
      <c r="B60" s="44" t="s">
        <v>83</v>
      </c>
      <c r="C60" s="44" t="s">
        <v>57</v>
      </c>
      <c r="D60" s="44" t="s">
        <v>118</v>
      </c>
      <c r="E60" s="45">
        <v>32</v>
      </c>
      <c r="F60" s="45">
        <v>30</v>
      </c>
      <c r="G60" s="41">
        <f t="shared" si="0"/>
        <v>93.75</v>
      </c>
      <c r="H60" s="42" t="str">
        <f t="shared" si="1"/>
        <v>Watch</v>
      </c>
    </row>
    <row r="61" spans="1:8" ht="15.75" customHeight="1" thickBot="1" x14ac:dyDescent="0.3">
      <c r="A61" s="39" t="s">
        <v>132</v>
      </c>
      <c r="B61" s="39" t="s">
        <v>83</v>
      </c>
      <c r="C61" s="39" t="s">
        <v>60</v>
      </c>
      <c r="D61" s="39" t="s">
        <v>118</v>
      </c>
      <c r="E61" s="40">
        <v>20</v>
      </c>
      <c r="F61" s="40">
        <v>22</v>
      </c>
      <c r="G61" s="41">
        <f t="shared" si="0"/>
        <v>110.00000000000001</v>
      </c>
      <c r="H61" s="42" t="str">
        <f t="shared" si="1"/>
        <v>On Track</v>
      </c>
    </row>
    <row r="62" spans="1:8" ht="15.75" customHeight="1" thickBot="1" x14ac:dyDescent="0.3">
      <c r="A62" s="44" t="s">
        <v>133</v>
      </c>
      <c r="B62" s="44" t="s">
        <v>83</v>
      </c>
      <c r="C62" s="44" t="s">
        <v>63</v>
      </c>
      <c r="D62" s="44" t="s">
        <v>118</v>
      </c>
      <c r="E62" s="45">
        <v>28</v>
      </c>
      <c r="F62" s="45">
        <v>27</v>
      </c>
      <c r="G62" s="41">
        <f t="shared" si="0"/>
        <v>96.428571428571431</v>
      </c>
      <c r="H62" s="42" t="str">
        <f t="shared" si="1"/>
        <v>Watch</v>
      </c>
    </row>
    <row r="63" spans="1:8" ht="15.75" customHeight="1" thickBot="1" x14ac:dyDescent="0.3">
      <c r="A63" s="39" t="s">
        <v>134</v>
      </c>
      <c r="B63" s="39" t="s">
        <v>92</v>
      </c>
      <c r="C63" s="39" t="s">
        <v>53</v>
      </c>
      <c r="D63" s="39" t="s">
        <v>118</v>
      </c>
      <c r="E63" s="40">
        <v>26</v>
      </c>
      <c r="F63" s="40">
        <v>25</v>
      </c>
      <c r="G63" s="41">
        <f t="shared" si="0"/>
        <v>96.15384615384616</v>
      </c>
      <c r="H63" s="42" t="str">
        <f t="shared" si="1"/>
        <v>Watch</v>
      </c>
    </row>
    <row r="64" spans="1:8" ht="15.75" customHeight="1" thickBot="1" x14ac:dyDescent="0.3">
      <c r="A64" s="44" t="s">
        <v>135</v>
      </c>
      <c r="B64" s="44" t="s">
        <v>92</v>
      </c>
      <c r="C64" s="44" t="s">
        <v>57</v>
      </c>
      <c r="D64" s="44" t="s">
        <v>118</v>
      </c>
      <c r="E64" s="45">
        <v>30</v>
      </c>
      <c r="F64" s="45">
        <v>29</v>
      </c>
      <c r="G64" s="41">
        <f t="shared" si="0"/>
        <v>96.666666666666671</v>
      </c>
      <c r="H64" s="42" t="str">
        <f t="shared" si="1"/>
        <v>Watch</v>
      </c>
    </row>
    <row r="65" spans="1:8" ht="15.75" customHeight="1" thickBot="1" x14ac:dyDescent="0.3">
      <c r="A65" s="39" t="s">
        <v>136</v>
      </c>
      <c r="B65" s="39" t="s">
        <v>92</v>
      </c>
      <c r="C65" s="39" t="s">
        <v>60</v>
      </c>
      <c r="D65" s="39" t="s">
        <v>118</v>
      </c>
      <c r="E65" s="40">
        <v>24</v>
      </c>
      <c r="F65" s="40">
        <v>23</v>
      </c>
      <c r="G65" s="41">
        <f t="shared" si="0"/>
        <v>95.833333333333343</v>
      </c>
      <c r="H65" s="42" t="str">
        <f t="shared" si="1"/>
        <v>Watch</v>
      </c>
    </row>
    <row r="66" spans="1:8" ht="15.75" customHeight="1" thickBot="1" x14ac:dyDescent="0.3">
      <c r="A66" s="44" t="s">
        <v>137</v>
      </c>
      <c r="B66" s="44" t="s">
        <v>92</v>
      </c>
      <c r="C66" s="44" t="s">
        <v>63</v>
      </c>
      <c r="D66" s="44" t="s">
        <v>118</v>
      </c>
      <c r="E66" s="45">
        <v>32</v>
      </c>
      <c r="F66" s="45">
        <v>28</v>
      </c>
      <c r="G66" s="41">
        <f t="shared" si="0"/>
        <v>87.5</v>
      </c>
      <c r="H66" s="42" t="str">
        <f t="shared" si="1"/>
        <v>Watch</v>
      </c>
    </row>
    <row r="67" spans="1:8" ht="15.75" customHeight="1" thickBot="1" x14ac:dyDescent="0.3">
      <c r="A67" s="39" t="s">
        <v>138</v>
      </c>
      <c r="B67" s="39" t="s">
        <v>52</v>
      </c>
      <c r="C67" s="39" t="s">
        <v>53</v>
      </c>
      <c r="D67" s="39" t="s">
        <v>139</v>
      </c>
      <c r="E67" s="40">
        <v>24</v>
      </c>
      <c r="F67" s="40">
        <v>25</v>
      </c>
      <c r="G67" s="41">
        <f t="shared" si="0"/>
        <v>104.16666666666667</v>
      </c>
      <c r="H67" s="42" t="str">
        <f t="shared" si="1"/>
        <v>On Track</v>
      </c>
    </row>
    <row r="68" spans="1:8" ht="15.75" customHeight="1" thickBot="1" x14ac:dyDescent="0.3">
      <c r="A68" s="44" t="s">
        <v>140</v>
      </c>
      <c r="B68" s="44" t="s">
        <v>52</v>
      </c>
      <c r="C68" s="44" t="s">
        <v>57</v>
      </c>
      <c r="D68" s="44" t="s">
        <v>139</v>
      </c>
      <c r="E68" s="45">
        <v>28</v>
      </c>
      <c r="F68" s="45">
        <v>30</v>
      </c>
      <c r="G68" s="41">
        <f t="shared" si="0"/>
        <v>107.14285714285714</v>
      </c>
      <c r="H68" s="42" t="str">
        <f t="shared" si="1"/>
        <v>On Track</v>
      </c>
    </row>
    <row r="69" spans="1:8" ht="15.75" customHeight="1" thickBot="1" x14ac:dyDescent="0.3">
      <c r="A69" s="39" t="s">
        <v>141</v>
      </c>
      <c r="B69" s="39" t="s">
        <v>52</v>
      </c>
      <c r="C69" s="39" t="s">
        <v>60</v>
      </c>
      <c r="D69" s="39" t="s">
        <v>139</v>
      </c>
      <c r="E69" s="40">
        <v>18</v>
      </c>
      <c r="F69" s="40">
        <v>17</v>
      </c>
      <c r="G69" s="41">
        <f t="shared" si="0"/>
        <v>94.444444444444443</v>
      </c>
      <c r="H69" s="42" t="str">
        <f t="shared" si="1"/>
        <v>Watch</v>
      </c>
    </row>
    <row r="70" spans="1:8" ht="15.75" customHeight="1" thickBot="1" x14ac:dyDescent="0.3">
      <c r="A70" s="44" t="s">
        <v>142</v>
      </c>
      <c r="B70" s="44" t="s">
        <v>52</v>
      </c>
      <c r="C70" s="44" t="s">
        <v>63</v>
      </c>
      <c r="D70" s="44" t="s">
        <v>139</v>
      </c>
      <c r="E70" s="45">
        <v>34</v>
      </c>
      <c r="F70" s="45">
        <v>36</v>
      </c>
      <c r="G70" s="41">
        <f t="shared" si="0"/>
        <v>105.88235294117648</v>
      </c>
      <c r="H70" s="42" t="str">
        <f t="shared" si="1"/>
        <v>On Track</v>
      </c>
    </row>
    <row r="71" spans="1:8" ht="15.75" customHeight="1" thickBot="1" x14ac:dyDescent="0.3">
      <c r="A71" s="39" t="s">
        <v>143</v>
      </c>
      <c r="B71" s="39" t="s">
        <v>66</v>
      </c>
      <c r="C71" s="39" t="s">
        <v>53</v>
      </c>
      <c r="D71" s="39" t="s">
        <v>139</v>
      </c>
      <c r="E71" s="40">
        <v>21</v>
      </c>
      <c r="F71" s="40">
        <v>19</v>
      </c>
      <c r="G71" s="41">
        <f t="shared" si="0"/>
        <v>90.476190476190482</v>
      </c>
      <c r="H71" s="42" t="str">
        <f t="shared" si="1"/>
        <v>Watch</v>
      </c>
    </row>
    <row r="72" spans="1:8" ht="15.75" customHeight="1" thickBot="1" x14ac:dyDescent="0.3">
      <c r="A72" s="44" t="s">
        <v>144</v>
      </c>
      <c r="B72" s="44" t="s">
        <v>66</v>
      </c>
      <c r="C72" s="44" t="s">
        <v>57</v>
      </c>
      <c r="D72" s="44" t="s">
        <v>139</v>
      </c>
      <c r="E72" s="45">
        <v>25</v>
      </c>
      <c r="F72" s="45">
        <v>23</v>
      </c>
      <c r="G72" s="41">
        <f t="shared" ref="G72:G125" si="2">(F72/E72)*100</f>
        <v>92</v>
      </c>
      <c r="H72" s="42" t="str">
        <f t="shared" ref="H72:H125" si="3">IF(G72&gt;=100,"On Track",IF(G72&gt;=80,"Watch","Below Target"))</f>
        <v>Watch</v>
      </c>
    </row>
    <row r="73" spans="1:8" ht="15.75" customHeight="1" thickBot="1" x14ac:dyDescent="0.3">
      <c r="A73" s="39" t="s">
        <v>145</v>
      </c>
      <c r="B73" s="39" t="s">
        <v>66</v>
      </c>
      <c r="C73" s="39" t="s">
        <v>60</v>
      </c>
      <c r="D73" s="39" t="s">
        <v>139</v>
      </c>
      <c r="E73" s="40">
        <v>28</v>
      </c>
      <c r="F73" s="40">
        <v>22</v>
      </c>
      <c r="G73" s="41">
        <f t="shared" si="2"/>
        <v>78.571428571428569</v>
      </c>
      <c r="H73" s="42" t="str">
        <f t="shared" si="3"/>
        <v>Below Target</v>
      </c>
    </row>
    <row r="74" spans="1:8" ht="15.75" customHeight="1" thickBot="1" x14ac:dyDescent="0.3">
      <c r="A74" s="44" t="s">
        <v>146</v>
      </c>
      <c r="B74" s="44" t="s">
        <v>66</v>
      </c>
      <c r="C74" s="44" t="s">
        <v>63</v>
      </c>
      <c r="D74" s="44" t="s">
        <v>139</v>
      </c>
      <c r="E74" s="45">
        <v>31</v>
      </c>
      <c r="F74" s="45">
        <v>33</v>
      </c>
      <c r="G74" s="41">
        <f t="shared" si="2"/>
        <v>106.45161290322579</v>
      </c>
      <c r="H74" s="42" t="str">
        <f t="shared" si="3"/>
        <v>On Track</v>
      </c>
    </row>
    <row r="75" spans="1:8" ht="15.75" customHeight="1" thickBot="1" x14ac:dyDescent="0.3">
      <c r="A75" s="39" t="s">
        <v>147</v>
      </c>
      <c r="B75" s="39" t="s">
        <v>74</v>
      </c>
      <c r="C75" s="39" t="s">
        <v>53</v>
      </c>
      <c r="D75" s="39" t="s">
        <v>139</v>
      </c>
      <c r="E75" s="40">
        <v>23</v>
      </c>
      <c r="F75" s="40">
        <v>24</v>
      </c>
      <c r="G75" s="41">
        <f t="shared" si="2"/>
        <v>104.34782608695652</v>
      </c>
      <c r="H75" s="42" t="str">
        <f t="shared" si="3"/>
        <v>On Track</v>
      </c>
    </row>
    <row r="76" spans="1:8" ht="15.75" customHeight="1" thickBot="1" x14ac:dyDescent="0.3">
      <c r="A76" s="44" t="s">
        <v>148</v>
      </c>
      <c r="B76" s="44" t="s">
        <v>74</v>
      </c>
      <c r="C76" s="44" t="s">
        <v>57</v>
      </c>
      <c r="D76" s="44" t="s">
        <v>139</v>
      </c>
      <c r="E76" s="45">
        <v>38</v>
      </c>
      <c r="F76" s="45">
        <v>44</v>
      </c>
      <c r="G76" s="41">
        <f t="shared" si="2"/>
        <v>115.78947368421053</v>
      </c>
      <c r="H76" s="42" t="str">
        <f t="shared" si="3"/>
        <v>On Track</v>
      </c>
    </row>
    <row r="77" spans="1:8" ht="15.75" customHeight="1" thickBot="1" x14ac:dyDescent="0.3">
      <c r="A77" s="39" t="s">
        <v>149</v>
      </c>
      <c r="B77" s="39" t="s">
        <v>74</v>
      </c>
      <c r="C77" s="39" t="s">
        <v>60</v>
      </c>
      <c r="D77" s="39" t="s">
        <v>139</v>
      </c>
      <c r="E77" s="40">
        <v>23</v>
      </c>
      <c r="F77" s="40">
        <v>22</v>
      </c>
      <c r="G77" s="41">
        <f t="shared" si="2"/>
        <v>95.652173913043484</v>
      </c>
      <c r="H77" s="42" t="str">
        <f t="shared" si="3"/>
        <v>Watch</v>
      </c>
    </row>
    <row r="78" spans="1:8" ht="15.75" customHeight="1" thickBot="1" x14ac:dyDescent="0.3">
      <c r="A78" s="44" t="s">
        <v>150</v>
      </c>
      <c r="B78" s="44" t="s">
        <v>74</v>
      </c>
      <c r="C78" s="44" t="s">
        <v>63</v>
      </c>
      <c r="D78" s="44" t="s">
        <v>139</v>
      </c>
      <c r="E78" s="45">
        <v>28</v>
      </c>
      <c r="F78" s="45">
        <v>30</v>
      </c>
      <c r="G78" s="41">
        <f t="shared" si="2"/>
        <v>107.14285714285714</v>
      </c>
      <c r="H78" s="42" t="str">
        <f t="shared" si="3"/>
        <v>On Track</v>
      </c>
    </row>
    <row r="79" spans="1:8" ht="15.75" customHeight="1" thickBot="1" x14ac:dyDescent="0.3">
      <c r="A79" s="39" t="s">
        <v>151</v>
      </c>
      <c r="B79" s="39" t="s">
        <v>83</v>
      </c>
      <c r="C79" s="39" t="s">
        <v>53</v>
      </c>
      <c r="D79" s="39" t="s">
        <v>139</v>
      </c>
      <c r="E79" s="40">
        <v>25</v>
      </c>
      <c r="F79" s="40">
        <v>27</v>
      </c>
      <c r="G79" s="41">
        <f t="shared" si="2"/>
        <v>108</v>
      </c>
      <c r="H79" s="42" t="str">
        <f t="shared" si="3"/>
        <v>On Track</v>
      </c>
    </row>
    <row r="80" spans="1:8" ht="15.75" customHeight="1" thickBot="1" x14ac:dyDescent="0.3">
      <c r="A80" s="44" t="s">
        <v>152</v>
      </c>
      <c r="B80" s="44" t="s">
        <v>83</v>
      </c>
      <c r="C80" s="44" t="s">
        <v>57</v>
      </c>
      <c r="D80" s="44" t="s">
        <v>139</v>
      </c>
      <c r="E80" s="45">
        <v>33</v>
      </c>
      <c r="F80" s="45">
        <v>31</v>
      </c>
      <c r="G80" s="41">
        <f t="shared" si="2"/>
        <v>93.939393939393938</v>
      </c>
      <c r="H80" s="42" t="str">
        <f t="shared" si="3"/>
        <v>Watch</v>
      </c>
    </row>
    <row r="81" spans="1:8" ht="15.75" customHeight="1" thickBot="1" x14ac:dyDescent="0.3">
      <c r="A81" s="39" t="s">
        <v>153</v>
      </c>
      <c r="B81" s="39" t="s">
        <v>83</v>
      </c>
      <c r="C81" s="39" t="s">
        <v>60</v>
      </c>
      <c r="D81" s="39" t="s">
        <v>139</v>
      </c>
      <c r="E81" s="40">
        <v>21</v>
      </c>
      <c r="F81" s="40">
        <v>23</v>
      </c>
      <c r="G81" s="41">
        <f t="shared" si="2"/>
        <v>109.52380952380953</v>
      </c>
      <c r="H81" s="42" t="str">
        <f t="shared" si="3"/>
        <v>On Track</v>
      </c>
    </row>
    <row r="82" spans="1:8" ht="15.75" customHeight="1" thickBot="1" x14ac:dyDescent="0.3">
      <c r="A82" s="44" t="s">
        <v>154</v>
      </c>
      <c r="B82" s="44" t="s">
        <v>83</v>
      </c>
      <c r="C82" s="44" t="s">
        <v>63</v>
      </c>
      <c r="D82" s="44" t="s">
        <v>139</v>
      </c>
      <c r="E82" s="45">
        <v>29</v>
      </c>
      <c r="F82" s="45">
        <v>28</v>
      </c>
      <c r="G82" s="41">
        <f t="shared" si="2"/>
        <v>96.551724137931032</v>
      </c>
      <c r="H82" s="42" t="str">
        <f t="shared" si="3"/>
        <v>Watch</v>
      </c>
    </row>
    <row r="83" spans="1:8" ht="15.75" customHeight="1" thickBot="1" x14ac:dyDescent="0.3">
      <c r="A83" s="39" t="s">
        <v>155</v>
      </c>
      <c r="B83" s="39" t="s">
        <v>92</v>
      </c>
      <c r="C83" s="39" t="s">
        <v>53</v>
      </c>
      <c r="D83" s="39" t="s">
        <v>139</v>
      </c>
      <c r="E83" s="40">
        <v>27</v>
      </c>
      <c r="F83" s="40">
        <v>26</v>
      </c>
      <c r="G83" s="41">
        <f t="shared" si="2"/>
        <v>96.296296296296291</v>
      </c>
      <c r="H83" s="42" t="str">
        <f t="shared" si="3"/>
        <v>Watch</v>
      </c>
    </row>
    <row r="84" spans="1:8" ht="15.75" customHeight="1" thickBot="1" x14ac:dyDescent="0.3">
      <c r="A84" s="44" t="s">
        <v>156</v>
      </c>
      <c r="B84" s="44" t="s">
        <v>92</v>
      </c>
      <c r="C84" s="44" t="s">
        <v>57</v>
      </c>
      <c r="D84" s="44" t="s">
        <v>139</v>
      </c>
      <c r="E84" s="45">
        <v>31</v>
      </c>
      <c r="F84" s="45">
        <v>30</v>
      </c>
      <c r="G84" s="41">
        <f t="shared" si="2"/>
        <v>96.774193548387103</v>
      </c>
      <c r="H84" s="42" t="str">
        <f t="shared" si="3"/>
        <v>Watch</v>
      </c>
    </row>
    <row r="85" spans="1:8" ht="15.75" customHeight="1" thickBot="1" x14ac:dyDescent="0.3">
      <c r="A85" s="39" t="s">
        <v>157</v>
      </c>
      <c r="B85" s="39" t="s">
        <v>92</v>
      </c>
      <c r="C85" s="39" t="s">
        <v>60</v>
      </c>
      <c r="D85" s="39" t="s">
        <v>139</v>
      </c>
      <c r="E85" s="40">
        <v>25</v>
      </c>
      <c r="F85" s="40">
        <v>24</v>
      </c>
      <c r="G85" s="41">
        <f t="shared" si="2"/>
        <v>96</v>
      </c>
      <c r="H85" s="42" t="str">
        <f t="shared" si="3"/>
        <v>Watch</v>
      </c>
    </row>
    <row r="86" spans="1:8" ht="15.75" customHeight="1" thickBot="1" x14ac:dyDescent="0.3">
      <c r="A86" s="44" t="s">
        <v>158</v>
      </c>
      <c r="B86" s="44" t="s">
        <v>92</v>
      </c>
      <c r="C86" s="44" t="s">
        <v>63</v>
      </c>
      <c r="D86" s="44" t="s">
        <v>139</v>
      </c>
      <c r="E86" s="45">
        <v>33</v>
      </c>
      <c r="F86" s="45">
        <v>29</v>
      </c>
      <c r="G86" s="41">
        <f t="shared" si="2"/>
        <v>87.878787878787875</v>
      </c>
      <c r="H86" s="42" t="str">
        <f t="shared" si="3"/>
        <v>Watch</v>
      </c>
    </row>
    <row r="87" spans="1:8" ht="15.75" customHeight="1" thickBot="1" x14ac:dyDescent="0.3">
      <c r="A87" s="39" t="s">
        <v>159</v>
      </c>
      <c r="B87" s="39" t="s">
        <v>52</v>
      </c>
      <c r="C87" s="39" t="s">
        <v>53</v>
      </c>
      <c r="D87" s="39" t="s">
        <v>160</v>
      </c>
      <c r="E87" s="40">
        <v>25</v>
      </c>
      <c r="F87" s="40">
        <v>26</v>
      </c>
      <c r="G87" s="41">
        <f t="shared" si="2"/>
        <v>104</v>
      </c>
      <c r="H87" s="42" t="str">
        <f t="shared" si="3"/>
        <v>On Track</v>
      </c>
    </row>
    <row r="88" spans="1:8" ht="15.75" customHeight="1" thickBot="1" x14ac:dyDescent="0.3">
      <c r="A88" s="44" t="s">
        <v>161</v>
      </c>
      <c r="B88" s="44" t="s">
        <v>52</v>
      </c>
      <c r="C88" s="44" t="s">
        <v>57</v>
      </c>
      <c r="D88" s="44" t="s">
        <v>160</v>
      </c>
      <c r="E88" s="45">
        <v>29</v>
      </c>
      <c r="F88" s="45">
        <v>31</v>
      </c>
      <c r="G88" s="41">
        <f t="shared" si="2"/>
        <v>106.89655172413792</v>
      </c>
      <c r="H88" s="42" t="str">
        <f t="shared" si="3"/>
        <v>On Track</v>
      </c>
    </row>
    <row r="89" spans="1:8" ht="15.75" customHeight="1" thickBot="1" x14ac:dyDescent="0.3">
      <c r="A89" s="39" t="s">
        <v>162</v>
      </c>
      <c r="B89" s="39" t="s">
        <v>52</v>
      </c>
      <c r="C89" s="39" t="s">
        <v>60</v>
      </c>
      <c r="D89" s="39" t="s">
        <v>160</v>
      </c>
      <c r="E89" s="40">
        <v>19</v>
      </c>
      <c r="F89" s="40">
        <v>18</v>
      </c>
      <c r="G89" s="41">
        <f t="shared" si="2"/>
        <v>94.73684210526315</v>
      </c>
      <c r="H89" s="42" t="str">
        <f t="shared" si="3"/>
        <v>Watch</v>
      </c>
    </row>
    <row r="90" spans="1:8" ht="15.75" customHeight="1" thickBot="1" x14ac:dyDescent="0.3">
      <c r="A90" s="44" t="s">
        <v>163</v>
      </c>
      <c r="B90" s="44" t="s">
        <v>52</v>
      </c>
      <c r="C90" s="44" t="s">
        <v>63</v>
      </c>
      <c r="D90" s="44" t="s">
        <v>160</v>
      </c>
      <c r="E90" s="45">
        <v>35</v>
      </c>
      <c r="F90" s="45">
        <v>37</v>
      </c>
      <c r="G90" s="41">
        <f t="shared" si="2"/>
        <v>105.71428571428572</v>
      </c>
      <c r="H90" s="42" t="str">
        <f t="shared" si="3"/>
        <v>On Track</v>
      </c>
    </row>
    <row r="91" spans="1:8" ht="15.75" customHeight="1" thickBot="1" x14ac:dyDescent="0.3">
      <c r="A91" s="39" t="s">
        <v>164</v>
      </c>
      <c r="B91" s="39" t="s">
        <v>66</v>
      </c>
      <c r="C91" s="39" t="s">
        <v>53</v>
      </c>
      <c r="D91" s="39" t="s">
        <v>160</v>
      </c>
      <c r="E91" s="40">
        <v>22</v>
      </c>
      <c r="F91" s="40">
        <v>20</v>
      </c>
      <c r="G91" s="41">
        <f t="shared" si="2"/>
        <v>90.909090909090907</v>
      </c>
      <c r="H91" s="42" t="str">
        <f t="shared" si="3"/>
        <v>Watch</v>
      </c>
    </row>
    <row r="92" spans="1:8" ht="15.75" customHeight="1" thickBot="1" x14ac:dyDescent="0.3">
      <c r="A92" s="44" t="s">
        <v>165</v>
      </c>
      <c r="B92" s="44" t="s">
        <v>66</v>
      </c>
      <c r="C92" s="44" t="s">
        <v>57</v>
      </c>
      <c r="D92" s="44" t="s">
        <v>160</v>
      </c>
      <c r="E92" s="45">
        <v>26</v>
      </c>
      <c r="F92" s="45">
        <v>24</v>
      </c>
      <c r="G92" s="41">
        <f t="shared" si="2"/>
        <v>92.307692307692307</v>
      </c>
      <c r="H92" s="42" t="str">
        <f t="shared" si="3"/>
        <v>Watch</v>
      </c>
    </row>
    <row r="93" spans="1:8" ht="15.75" customHeight="1" thickBot="1" x14ac:dyDescent="0.3">
      <c r="A93" s="39" t="s">
        <v>166</v>
      </c>
      <c r="B93" s="39" t="s">
        <v>66</v>
      </c>
      <c r="C93" s="39" t="s">
        <v>60</v>
      </c>
      <c r="D93" s="39" t="s">
        <v>160</v>
      </c>
      <c r="E93" s="40">
        <v>29</v>
      </c>
      <c r="F93" s="40">
        <v>23</v>
      </c>
      <c r="G93" s="41">
        <f t="shared" si="2"/>
        <v>79.310344827586206</v>
      </c>
      <c r="H93" s="42" t="str">
        <f t="shared" si="3"/>
        <v>Below Target</v>
      </c>
    </row>
    <row r="94" spans="1:8" ht="15.75" customHeight="1" thickBot="1" x14ac:dyDescent="0.3">
      <c r="A94" s="44" t="s">
        <v>167</v>
      </c>
      <c r="B94" s="44" t="s">
        <v>66</v>
      </c>
      <c r="C94" s="44" t="s">
        <v>63</v>
      </c>
      <c r="D94" s="44" t="s">
        <v>160</v>
      </c>
      <c r="E94" s="45">
        <v>30</v>
      </c>
      <c r="F94" s="45">
        <v>32</v>
      </c>
      <c r="G94" s="41">
        <f t="shared" si="2"/>
        <v>106.66666666666667</v>
      </c>
      <c r="H94" s="42" t="str">
        <f t="shared" si="3"/>
        <v>On Track</v>
      </c>
    </row>
    <row r="95" spans="1:8" ht="15.75" customHeight="1" thickBot="1" x14ac:dyDescent="0.3">
      <c r="A95" s="39" t="s">
        <v>168</v>
      </c>
      <c r="B95" s="39" t="s">
        <v>74</v>
      </c>
      <c r="C95" s="39" t="s">
        <v>53</v>
      </c>
      <c r="D95" s="39" t="s">
        <v>160</v>
      </c>
      <c r="E95" s="40">
        <v>24</v>
      </c>
      <c r="F95" s="40">
        <v>25</v>
      </c>
      <c r="G95" s="41">
        <f t="shared" si="2"/>
        <v>104.16666666666667</v>
      </c>
      <c r="H95" s="42" t="str">
        <f t="shared" si="3"/>
        <v>On Track</v>
      </c>
    </row>
    <row r="96" spans="1:8" ht="15.75" customHeight="1" thickBot="1" x14ac:dyDescent="0.3">
      <c r="A96" s="44" t="s">
        <v>169</v>
      </c>
      <c r="B96" s="44" t="s">
        <v>74</v>
      </c>
      <c r="C96" s="44" t="s">
        <v>57</v>
      </c>
      <c r="D96" s="44" t="s">
        <v>160</v>
      </c>
      <c r="E96" s="45">
        <v>39</v>
      </c>
      <c r="F96" s="45">
        <v>45</v>
      </c>
      <c r="G96" s="41">
        <f t="shared" si="2"/>
        <v>115.38461538461537</v>
      </c>
      <c r="H96" s="42" t="str">
        <f t="shared" si="3"/>
        <v>On Track</v>
      </c>
    </row>
    <row r="97" spans="1:8" ht="15.75" customHeight="1" thickBot="1" x14ac:dyDescent="0.3">
      <c r="A97" s="39" t="s">
        <v>170</v>
      </c>
      <c r="B97" s="39" t="s">
        <v>74</v>
      </c>
      <c r="C97" s="39" t="s">
        <v>60</v>
      </c>
      <c r="D97" s="39" t="s">
        <v>160</v>
      </c>
      <c r="E97" s="40">
        <v>24</v>
      </c>
      <c r="F97" s="40">
        <v>23</v>
      </c>
      <c r="G97" s="41">
        <f t="shared" si="2"/>
        <v>95.833333333333343</v>
      </c>
      <c r="H97" s="42" t="str">
        <f t="shared" si="3"/>
        <v>Watch</v>
      </c>
    </row>
    <row r="98" spans="1:8" ht="15.75" customHeight="1" thickBot="1" x14ac:dyDescent="0.3">
      <c r="A98" s="44" t="s">
        <v>171</v>
      </c>
      <c r="B98" s="44" t="s">
        <v>74</v>
      </c>
      <c r="C98" s="44" t="s">
        <v>63</v>
      </c>
      <c r="D98" s="44" t="s">
        <v>160</v>
      </c>
      <c r="E98" s="45">
        <v>29</v>
      </c>
      <c r="F98" s="45">
        <v>31</v>
      </c>
      <c r="G98" s="41">
        <f t="shared" si="2"/>
        <v>106.89655172413792</v>
      </c>
      <c r="H98" s="42" t="str">
        <f t="shared" si="3"/>
        <v>On Track</v>
      </c>
    </row>
    <row r="99" spans="1:8" ht="15.75" customHeight="1" thickBot="1" x14ac:dyDescent="0.3">
      <c r="A99" s="39" t="s">
        <v>172</v>
      </c>
      <c r="B99" s="39" t="s">
        <v>83</v>
      </c>
      <c r="C99" s="39" t="s">
        <v>53</v>
      </c>
      <c r="D99" s="39" t="s">
        <v>160</v>
      </c>
      <c r="E99" s="40">
        <v>26</v>
      </c>
      <c r="F99" s="40">
        <v>28</v>
      </c>
      <c r="G99" s="41">
        <f t="shared" si="2"/>
        <v>107.69230769230769</v>
      </c>
      <c r="H99" s="42" t="str">
        <f t="shared" si="3"/>
        <v>On Track</v>
      </c>
    </row>
    <row r="100" spans="1:8" ht="15.75" customHeight="1" thickBot="1" x14ac:dyDescent="0.3">
      <c r="A100" s="44" t="s">
        <v>173</v>
      </c>
      <c r="B100" s="44" t="s">
        <v>83</v>
      </c>
      <c r="C100" s="44" t="s">
        <v>57</v>
      </c>
      <c r="D100" s="44" t="s">
        <v>160</v>
      </c>
      <c r="E100" s="45">
        <v>34</v>
      </c>
      <c r="F100" s="45">
        <v>32</v>
      </c>
      <c r="G100" s="41">
        <f t="shared" si="2"/>
        <v>94.117647058823522</v>
      </c>
      <c r="H100" s="42" t="str">
        <f t="shared" si="3"/>
        <v>Watch</v>
      </c>
    </row>
    <row r="101" spans="1:8" ht="15.75" customHeight="1" thickBot="1" x14ac:dyDescent="0.3">
      <c r="A101" s="39" t="s">
        <v>174</v>
      </c>
      <c r="B101" s="39" t="s">
        <v>83</v>
      </c>
      <c r="C101" s="39" t="s">
        <v>60</v>
      </c>
      <c r="D101" s="39" t="s">
        <v>160</v>
      </c>
      <c r="E101" s="40">
        <v>22</v>
      </c>
      <c r="F101" s="40">
        <v>24</v>
      </c>
      <c r="G101" s="41">
        <f t="shared" si="2"/>
        <v>109.09090909090908</v>
      </c>
      <c r="H101" s="42" t="str">
        <f t="shared" si="3"/>
        <v>On Track</v>
      </c>
    </row>
    <row r="102" spans="1:8" ht="15.75" customHeight="1" thickBot="1" x14ac:dyDescent="0.3">
      <c r="A102" s="44" t="s">
        <v>175</v>
      </c>
      <c r="B102" s="44" t="s">
        <v>83</v>
      </c>
      <c r="C102" s="44" t="s">
        <v>63</v>
      </c>
      <c r="D102" s="44" t="s">
        <v>160</v>
      </c>
      <c r="E102" s="45">
        <v>30</v>
      </c>
      <c r="F102" s="45">
        <v>29</v>
      </c>
      <c r="G102" s="41">
        <f t="shared" si="2"/>
        <v>96.666666666666671</v>
      </c>
      <c r="H102" s="42" t="str">
        <f t="shared" si="3"/>
        <v>Watch</v>
      </c>
    </row>
    <row r="103" spans="1:8" ht="15.75" customHeight="1" thickBot="1" x14ac:dyDescent="0.3">
      <c r="A103" s="39" t="s">
        <v>176</v>
      </c>
      <c r="B103" s="39" t="s">
        <v>92</v>
      </c>
      <c r="C103" s="39" t="s">
        <v>53</v>
      </c>
      <c r="D103" s="39" t="s">
        <v>160</v>
      </c>
      <c r="E103" s="40">
        <v>28</v>
      </c>
      <c r="F103" s="40">
        <v>27</v>
      </c>
      <c r="G103" s="41">
        <f t="shared" si="2"/>
        <v>96.428571428571431</v>
      </c>
      <c r="H103" s="42" t="str">
        <f t="shared" si="3"/>
        <v>Watch</v>
      </c>
    </row>
    <row r="104" spans="1:8" ht="15.75" customHeight="1" thickBot="1" x14ac:dyDescent="0.3">
      <c r="A104" s="44" t="s">
        <v>177</v>
      </c>
      <c r="B104" s="44" t="s">
        <v>92</v>
      </c>
      <c r="C104" s="44" t="s">
        <v>57</v>
      </c>
      <c r="D104" s="44" t="s">
        <v>160</v>
      </c>
      <c r="E104" s="45">
        <v>32</v>
      </c>
      <c r="F104" s="45">
        <v>31</v>
      </c>
      <c r="G104" s="41">
        <f t="shared" si="2"/>
        <v>96.875</v>
      </c>
      <c r="H104" s="42" t="str">
        <f t="shared" si="3"/>
        <v>Watch</v>
      </c>
    </row>
    <row r="105" spans="1:8" ht="15.75" customHeight="1" thickBot="1" x14ac:dyDescent="0.3">
      <c r="A105" s="39" t="s">
        <v>178</v>
      </c>
      <c r="B105" s="39" t="s">
        <v>92</v>
      </c>
      <c r="C105" s="39" t="s">
        <v>60</v>
      </c>
      <c r="D105" s="39" t="s">
        <v>160</v>
      </c>
      <c r="E105" s="40">
        <v>26</v>
      </c>
      <c r="F105" s="40">
        <v>25</v>
      </c>
      <c r="G105" s="41">
        <f t="shared" si="2"/>
        <v>96.15384615384616</v>
      </c>
      <c r="H105" s="42" t="str">
        <f t="shared" si="3"/>
        <v>Watch</v>
      </c>
    </row>
    <row r="106" spans="1:8" ht="15.75" customHeight="1" thickBot="1" x14ac:dyDescent="0.3">
      <c r="A106" s="44" t="s">
        <v>179</v>
      </c>
      <c r="B106" s="44" t="s">
        <v>92</v>
      </c>
      <c r="C106" s="44" t="s">
        <v>63</v>
      </c>
      <c r="D106" s="44" t="s">
        <v>160</v>
      </c>
      <c r="E106" s="45">
        <v>34</v>
      </c>
      <c r="F106" s="45">
        <v>30</v>
      </c>
      <c r="G106" s="41">
        <f t="shared" si="2"/>
        <v>88.235294117647058</v>
      </c>
      <c r="H106" s="42" t="str">
        <f t="shared" si="3"/>
        <v>Watch</v>
      </c>
    </row>
    <row r="107" spans="1:8" ht="15.75" customHeight="1" thickBot="1" x14ac:dyDescent="0.3">
      <c r="A107" s="39" t="s">
        <v>180</v>
      </c>
      <c r="B107" s="39" t="s">
        <v>52</v>
      </c>
      <c r="C107" s="39" t="s">
        <v>53</v>
      </c>
      <c r="D107" s="39" t="s">
        <v>181</v>
      </c>
      <c r="E107" s="40">
        <v>26</v>
      </c>
      <c r="F107" s="40">
        <v>27</v>
      </c>
      <c r="G107" s="41">
        <f t="shared" si="2"/>
        <v>103.84615384615385</v>
      </c>
      <c r="H107" s="42" t="str">
        <f t="shared" si="3"/>
        <v>On Track</v>
      </c>
    </row>
    <row r="108" spans="1:8" ht="15.75" customHeight="1" thickBot="1" x14ac:dyDescent="0.3">
      <c r="A108" s="44" t="s">
        <v>182</v>
      </c>
      <c r="B108" s="44" t="s">
        <v>52</v>
      </c>
      <c r="C108" s="44" t="s">
        <v>57</v>
      </c>
      <c r="D108" s="44" t="s">
        <v>181</v>
      </c>
      <c r="E108" s="45">
        <v>30</v>
      </c>
      <c r="F108" s="45">
        <v>32</v>
      </c>
      <c r="G108" s="41">
        <f t="shared" si="2"/>
        <v>106.66666666666667</v>
      </c>
      <c r="H108" s="42" t="str">
        <f t="shared" si="3"/>
        <v>On Track</v>
      </c>
    </row>
    <row r="109" spans="1:8" ht="15.75" customHeight="1" thickBot="1" x14ac:dyDescent="0.3">
      <c r="A109" s="39" t="s">
        <v>183</v>
      </c>
      <c r="B109" s="39" t="s">
        <v>52</v>
      </c>
      <c r="C109" s="39" t="s">
        <v>60</v>
      </c>
      <c r="D109" s="39" t="s">
        <v>181</v>
      </c>
      <c r="E109" s="40">
        <v>20</v>
      </c>
      <c r="F109" s="40">
        <v>19</v>
      </c>
      <c r="G109" s="41">
        <f t="shared" si="2"/>
        <v>95</v>
      </c>
      <c r="H109" s="42" t="str">
        <f t="shared" si="3"/>
        <v>Watch</v>
      </c>
    </row>
    <row r="110" spans="1:8" ht="15.75" customHeight="1" thickBot="1" x14ac:dyDescent="0.3">
      <c r="A110" s="44" t="s">
        <v>184</v>
      </c>
      <c r="B110" s="44" t="s">
        <v>52</v>
      </c>
      <c r="C110" s="44" t="s">
        <v>63</v>
      </c>
      <c r="D110" s="44" t="s">
        <v>181</v>
      </c>
      <c r="E110" s="45">
        <v>36</v>
      </c>
      <c r="F110" s="45">
        <v>38</v>
      </c>
      <c r="G110" s="41">
        <f t="shared" si="2"/>
        <v>105.55555555555556</v>
      </c>
      <c r="H110" s="42" t="str">
        <f t="shared" si="3"/>
        <v>On Track</v>
      </c>
    </row>
    <row r="111" spans="1:8" ht="15.75" customHeight="1" thickBot="1" x14ac:dyDescent="0.3">
      <c r="A111" s="39" t="s">
        <v>185</v>
      </c>
      <c r="B111" s="39" t="s">
        <v>66</v>
      </c>
      <c r="C111" s="39" t="s">
        <v>53</v>
      </c>
      <c r="D111" s="39" t="s">
        <v>181</v>
      </c>
      <c r="E111" s="40">
        <v>23</v>
      </c>
      <c r="F111" s="40">
        <v>21</v>
      </c>
      <c r="G111" s="41">
        <f t="shared" si="2"/>
        <v>91.304347826086953</v>
      </c>
      <c r="H111" s="42" t="str">
        <f t="shared" si="3"/>
        <v>Watch</v>
      </c>
    </row>
    <row r="112" spans="1:8" ht="15.75" customHeight="1" thickBot="1" x14ac:dyDescent="0.3">
      <c r="A112" s="44" t="s">
        <v>186</v>
      </c>
      <c r="B112" s="44" t="s">
        <v>66</v>
      </c>
      <c r="C112" s="44" t="s">
        <v>57</v>
      </c>
      <c r="D112" s="44" t="s">
        <v>181</v>
      </c>
      <c r="E112" s="45">
        <v>27</v>
      </c>
      <c r="F112" s="45">
        <v>25</v>
      </c>
      <c r="G112" s="41">
        <f t="shared" si="2"/>
        <v>92.592592592592595</v>
      </c>
      <c r="H112" s="42" t="str">
        <f t="shared" si="3"/>
        <v>Watch</v>
      </c>
    </row>
    <row r="113" spans="1:8" ht="15.75" customHeight="1" thickBot="1" x14ac:dyDescent="0.3">
      <c r="A113" s="39" t="s">
        <v>187</v>
      </c>
      <c r="B113" s="39" t="s">
        <v>66</v>
      </c>
      <c r="C113" s="39" t="s">
        <v>60</v>
      </c>
      <c r="D113" s="39" t="s">
        <v>181</v>
      </c>
      <c r="E113" s="40">
        <v>30</v>
      </c>
      <c r="F113" s="40">
        <v>24</v>
      </c>
      <c r="G113" s="41">
        <f t="shared" si="2"/>
        <v>80</v>
      </c>
      <c r="H113" s="42" t="str">
        <f t="shared" si="3"/>
        <v>Watch</v>
      </c>
    </row>
    <row r="114" spans="1:8" ht="15.75" customHeight="1" thickBot="1" x14ac:dyDescent="0.3">
      <c r="A114" s="44" t="s">
        <v>188</v>
      </c>
      <c r="B114" s="44" t="s">
        <v>66</v>
      </c>
      <c r="C114" s="44" t="s">
        <v>63</v>
      </c>
      <c r="D114" s="44" t="s">
        <v>181</v>
      </c>
      <c r="E114" s="45">
        <v>32</v>
      </c>
      <c r="F114" s="45">
        <v>34</v>
      </c>
      <c r="G114" s="41">
        <f t="shared" si="2"/>
        <v>106.25</v>
      </c>
      <c r="H114" s="42" t="str">
        <f t="shared" si="3"/>
        <v>On Track</v>
      </c>
    </row>
    <row r="115" spans="1:8" ht="15.75" customHeight="1" thickBot="1" x14ac:dyDescent="0.3">
      <c r="A115" s="39" t="s">
        <v>189</v>
      </c>
      <c r="B115" s="39" t="s">
        <v>74</v>
      </c>
      <c r="C115" s="39" t="s">
        <v>53</v>
      </c>
      <c r="D115" s="39" t="s">
        <v>181</v>
      </c>
      <c r="E115" s="40">
        <v>25</v>
      </c>
      <c r="F115" s="40">
        <v>26</v>
      </c>
      <c r="G115" s="41">
        <f t="shared" si="2"/>
        <v>104</v>
      </c>
      <c r="H115" s="42" t="str">
        <f t="shared" si="3"/>
        <v>On Track</v>
      </c>
    </row>
    <row r="116" spans="1:8" ht="15.75" customHeight="1" thickBot="1" x14ac:dyDescent="0.3">
      <c r="A116" s="44" t="s">
        <v>190</v>
      </c>
      <c r="B116" s="44" t="s">
        <v>74</v>
      </c>
      <c r="C116" s="44" t="s">
        <v>57</v>
      </c>
      <c r="D116" s="44" t="s">
        <v>181</v>
      </c>
      <c r="E116" s="45">
        <v>40</v>
      </c>
      <c r="F116" s="45">
        <v>46</v>
      </c>
      <c r="G116" s="41">
        <f t="shared" si="2"/>
        <v>114.99999999999999</v>
      </c>
      <c r="H116" s="42" t="str">
        <f t="shared" si="3"/>
        <v>On Track</v>
      </c>
    </row>
    <row r="117" spans="1:8" ht="15.75" customHeight="1" thickBot="1" x14ac:dyDescent="0.3">
      <c r="A117" s="39" t="s">
        <v>191</v>
      </c>
      <c r="B117" s="39" t="s">
        <v>74</v>
      </c>
      <c r="C117" s="39" t="s">
        <v>60</v>
      </c>
      <c r="D117" s="39" t="s">
        <v>181</v>
      </c>
      <c r="E117" s="40">
        <v>25</v>
      </c>
      <c r="F117" s="40">
        <v>24</v>
      </c>
      <c r="G117" s="41">
        <f t="shared" si="2"/>
        <v>96</v>
      </c>
      <c r="H117" s="42" t="str">
        <f t="shared" si="3"/>
        <v>Watch</v>
      </c>
    </row>
    <row r="118" spans="1:8" ht="15.75" customHeight="1" thickBot="1" x14ac:dyDescent="0.3">
      <c r="A118" s="44" t="s">
        <v>192</v>
      </c>
      <c r="B118" s="44" t="s">
        <v>74</v>
      </c>
      <c r="C118" s="44" t="s">
        <v>63</v>
      </c>
      <c r="D118" s="44" t="s">
        <v>181</v>
      </c>
      <c r="E118" s="45">
        <v>30</v>
      </c>
      <c r="F118" s="45">
        <v>32</v>
      </c>
      <c r="G118" s="41">
        <f t="shared" si="2"/>
        <v>106.66666666666667</v>
      </c>
      <c r="H118" s="42" t="str">
        <f t="shared" si="3"/>
        <v>On Track</v>
      </c>
    </row>
    <row r="119" spans="1:8" ht="15.75" customHeight="1" thickBot="1" x14ac:dyDescent="0.3">
      <c r="A119" s="39" t="s">
        <v>193</v>
      </c>
      <c r="B119" s="39" t="s">
        <v>83</v>
      </c>
      <c r="C119" s="39" t="s">
        <v>53</v>
      </c>
      <c r="D119" s="39" t="s">
        <v>181</v>
      </c>
      <c r="E119" s="40">
        <v>27</v>
      </c>
      <c r="F119" s="40">
        <v>29</v>
      </c>
      <c r="G119" s="41">
        <f t="shared" si="2"/>
        <v>107.40740740740742</v>
      </c>
      <c r="H119" s="42" t="str">
        <f t="shared" si="3"/>
        <v>On Track</v>
      </c>
    </row>
    <row r="120" spans="1:8" ht="15.75" customHeight="1" thickBot="1" x14ac:dyDescent="0.3">
      <c r="A120" s="44" t="s">
        <v>194</v>
      </c>
      <c r="B120" s="44" t="s">
        <v>83</v>
      </c>
      <c r="C120" s="44" t="s">
        <v>57</v>
      </c>
      <c r="D120" s="44" t="s">
        <v>181</v>
      </c>
      <c r="E120" s="45">
        <v>35</v>
      </c>
      <c r="F120" s="45">
        <v>33</v>
      </c>
      <c r="G120" s="41">
        <f t="shared" si="2"/>
        <v>94.285714285714278</v>
      </c>
      <c r="H120" s="42" t="str">
        <f t="shared" si="3"/>
        <v>Watch</v>
      </c>
    </row>
    <row r="121" spans="1:8" ht="15.75" customHeight="1" thickBot="1" x14ac:dyDescent="0.3">
      <c r="A121" s="39" t="s">
        <v>195</v>
      </c>
      <c r="B121" s="39" t="s">
        <v>83</v>
      </c>
      <c r="C121" s="39" t="s">
        <v>60</v>
      </c>
      <c r="D121" s="39" t="s">
        <v>181</v>
      </c>
      <c r="E121" s="40">
        <v>23</v>
      </c>
      <c r="F121" s="40">
        <v>25</v>
      </c>
      <c r="G121" s="41">
        <f t="shared" si="2"/>
        <v>108.69565217391303</v>
      </c>
      <c r="H121" s="42" t="str">
        <f t="shared" si="3"/>
        <v>On Track</v>
      </c>
    </row>
    <row r="122" spans="1:8" ht="15.75" customHeight="1" thickBot="1" x14ac:dyDescent="0.3">
      <c r="A122" s="44" t="s">
        <v>196</v>
      </c>
      <c r="B122" s="44" t="s">
        <v>83</v>
      </c>
      <c r="C122" s="44" t="s">
        <v>63</v>
      </c>
      <c r="D122" s="44" t="s">
        <v>181</v>
      </c>
      <c r="E122" s="45">
        <v>31</v>
      </c>
      <c r="F122" s="45">
        <v>30</v>
      </c>
      <c r="G122" s="41">
        <f t="shared" si="2"/>
        <v>96.774193548387103</v>
      </c>
      <c r="H122" s="42" t="str">
        <f t="shared" si="3"/>
        <v>Watch</v>
      </c>
    </row>
    <row r="123" spans="1:8" ht="15.75" customHeight="1" thickBot="1" x14ac:dyDescent="0.3">
      <c r="A123" s="39" t="s">
        <v>197</v>
      </c>
      <c r="B123" s="39" t="s">
        <v>92</v>
      </c>
      <c r="C123" s="39" t="s">
        <v>53</v>
      </c>
      <c r="D123" s="39" t="s">
        <v>181</v>
      </c>
      <c r="E123" s="40">
        <v>29</v>
      </c>
      <c r="F123" s="40">
        <v>28</v>
      </c>
      <c r="G123" s="41">
        <f t="shared" si="2"/>
        <v>96.551724137931032</v>
      </c>
      <c r="H123" s="42" t="str">
        <f t="shared" si="3"/>
        <v>Watch</v>
      </c>
    </row>
    <row r="124" spans="1:8" ht="15.75" customHeight="1" thickBot="1" x14ac:dyDescent="0.3">
      <c r="A124" s="44" t="s">
        <v>198</v>
      </c>
      <c r="B124" s="44" t="s">
        <v>92</v>
      </c>
      <c r="C124" s="44" t="s">
        <v>57</v>
      </c>
      <c r="D124" s="44" t="s">
        <v>181</v>
      </c>
      <c r="E124" s="45">
        <v>33</v>
      </c>
      <c r="F124" s="45">
        <v>32</v>
      </c>
      <c r="G124" s="41">
        <f t="shared" si="2"/>
        <v>96.969696969696969</v>
      </c>
      <c r="H124" s="42" t="str">
        <f t="shared" si="3"/>
        <v>Watch</v>
      </c>
    </row>
    <row r="125" spans="1:8" ht="15.75" customHeight="1" thickBot="1" x14ac:dyDescent="0.3">
      <c r="A125" s="39" t="s">
        <v>199</v>
      </c>
      <c r="B125" s="39" t="s">
        <v>92</v>
      </c>
      <c r="C125" s="39" t="s">
        <v>60</v>
      </c>
      <c r="D125" s="39" t="s">
        <v>181</v>
      </c>
      <c r="E125" s="40">
        <v>27</v>
      </c>
      <c r="F125" s="40">
        <v>26</v>
      </c>
      <c r="G125" s="41">
        <f t="shared" si="2"/>
        <v>96.296296296296291</v>
      </c>
      <c r="H125" s="42" t="str">
        <f t="shared" si="3"/>
        <v>Watch</v>
      </c>
    </row>
    <row r="126" spans="1:8" ht="15.75" customHeight="1" thickBot="1" x14ac:dyDescent="0.3">
      <c r="A126" s="44" t="s">
        <v>200</v>
      </c>
      <c r="B126" s="44" t="s">
        <v>92</v>
      </c>
      <c r="C126" s="44" t="s">
        <v>63</v>
      </c>
      <c r="D126" s="44" t="s">
        <v>181</v>
      </c>
      <c r="E126" s="45">
        <v>35</v>
      </c>
      <c r="F126" s="45">
        <v>31</v>
      </c>
      <c r="G126" s="41"/>
      <c r="H126" s="42"/>
    </row>
    <row r="127" spans="1:8" ht="15.75" customHeight="1" x14ac:dyDescent="0.25"/>
    <row r="129" spans="1:8" ht="15.75" thickBot="1" x14ac:dyDescent="0.3">
      <c r="A129" s="8" t="s">
        <v>201</v>
      </c>
      <c r="B129" s="8"/>
      <c r="C129" s="8"/>
      <c r="D129" s="8"/>
      <c r="E129" s="8"/>
      <c r="F129" s="8"/>
      <c r="G129" s="8"/>
      <c r="H129" s="8"/>
    </row>
    <row r="130" spans="1:8" ht="25.5" customHeight="1" thickBot="1" x14ac:dyDescent="0.3">
      <c r="A130" s="15" t="s">
        <v>202</v>
      </c>
      <c r="B130" s="48">
        <f>COUNTA(A7:A126)</f>
        <v>120</v>
      </c>
      <c r="C130" s="7" t="s">
        <v>203</v>
      </c>
      <c r="D130" s="7"/>
      <c r="E130" s="7"/>
      <c r="F130" s="7"/>
      <c r="G130" s="7"/>
      <c r="H130" s="7"/>
    </row>
    <row r="131" spans="1:8" ht="21.75" customHeight="1" thickBot="1" x14ac:dyDescent="0.3">
      <c r="A131" s="15" t="s">
        <v>204</v>
      </c>
      <c r="B131" s="48">
        <f>COUNTIF(H7:H126,"On Track")</f>
        <v>54</v>
      </c>
      <c r="C131" s="6" t="s">
        <v>205</v>
      </c>
      <c r="D131" s="6"/>
      <c r="E131" s="6"/>
      <c r="F131" s="6"/>
      <c r="G131" s="6"/>
      <c r="H131" s="6"/>
    </row>
    <row r="132" spans="1:8" ht="21.75" customHeight="1" thickBot="1" x14ac:dyDescent="0.3">
      <c r="A132" s="15" t="s">
        <v>206</v>
      </c>
      <c r="B132" s="48">
        <f>COUNTIF(H7:H126,"Watch")</f>
        <v>60</v>
      </c>
      <c r="C132" s="7" t="s">
        <v>207</v>
      </c>
      <c r="D132" s="7"/>
      <c r="E132" s="7"/>
      <c r="F132" s="7"/>
      <c r="G132" s="7"/>
      <c r="H132" s="7"/>
    </row>
    <row r="133" spans="1:8" ht="21.75" customHeight="1" thickBot="1" x14ac:dyDescent="0.3">
      <c r="A133" s="15" t="s">
        <v>208</v>
      </c>
      <c r="B133" s="48">
        <f>COUNTIF(H7:H126,"Below Target")</f>
        <v>5</v>
      </c>
      <c r="C133" s="6" t="s">
        <v>209</v>
      </c>
      <c r="D133" s="6"/>
      <c r="E133" s="6"/>
      <c r="F133" s="6"/>
      <c r="G133" s="6"/>
      <c r="H133" s="6"/>
    </row>
    <row r="134" spans="1:8" ht="21.75" customHeight="1" thickBot="1" x14ac:dyDescent="0.3">
      <c r="A134" s="15" t="s">
        <v>210</v>
      </c>
      <c r="B134" s="48">
        <f>AVERAGE(G7:G126)</f>
        <v>99.414504604550515</v>
      </c>
      <c r="C134" s="7" t="s">
        <v>211</v>
      </c>
      <c r="D134" s="7"/>
      <c r="E134" s="7"/>
      <c r="F134" s="7"/>
      <c r="G134" s="7"/>
      <c r="H134" s="7"/>
    </row>
    <row r="135" spans="1:8" ht="21.75" customHeight="1" thickBot="1" x14ac:dyDescent="0.3">
      <c r="A135" s="15" t="s">
        <v>212</v>
      </c>
      <c r="B135" s="48">
        <f>AVERAGEIF(B7:B126,"IT",G7:G126)</f>
        <v>105.71451986961667</v>
      </c>
      <c r="C135" s="6" t="s">
        <v>213</v>
      </c>
      <c r="D135" s="6"/>
      <c r="E135" s="6"/>
      <c r="F135" s="6"/>
      <c r="G135" s="6"/>
      <c r="H135" s="6"/>
    </row>
    <row r="136" spans="1:8" ht="21.75" customHeight="1" thickBot="1" x14ac:dyDescent="0.3">
      <c r="A136" s="15" t="s">
        <v>214</v>
      </c>
      <c r="B136" s="48">
        <f>AVERAGEIF(B7:B126,"Finance",G7:G126)</f>
        <v>91.520398992347396</v>
      </c>
      <c r="C136" s="7" t="s">
        <v>215</v>
      </c>
      <c r="D136" s="7"/>
      <c r="E136" s="7"/>
      <c r="F136" s="7"/>
      <c r="G136" s="7"/>
      <c r="H136" s="7"/>
    </row>
    <row r="137" spans="1:8" ht="21.75" customHeight="1" thickBot="1" x14ac:dyDescent="0.3">
      <c r="A137" s="15" t="s">
        <v>216</v>
      </c>
      <c r="B137" s="48">
        <f>AVERAGEIF(C7:C126,"Compliance",G7:G126)</f>
        <v>94.582701194034414</v>
      </c>
      <c r="C137" s="6" t="s">
        <v>217</v>
      </c>
      <c r="D137" s="6"/>
      <c r="E137" s="6"/>
      <c r="F137" s="6"/>
      <c r="G137" s="6"/>
      <c r="H137" s="6"/>
    </row>
    <row r="138" spans="1:8" ht="21.75" customHeight="1" x14ac:dyDescent="0.25"/>
    <row r="139" spans="1:8" x14ac:dyDescent="0.25">
      <c r="A139" s="5" t="s">
        <v>218</v>
      </c>
      <c r="B139" s="5"/>
      <c r="C139" s="5"/>
      <c r="D139" s="5"/>
      <c r="E139" s="5"/>
      <c r="F139" s="5"/>
      <c r="G139" s="5"/>
      <c r="H139" s="5"/>
    </row>
    <row r="140" spans="1:8" ht="31.5" customHeight="1" x14ac:dyDescent="0.25"/>
  </sheetData>
  <mergeCells count="14">
    <mergeCell ref="C135:H135"/>
    <mergeCell ref="C136:H136"/>
    <mergeCell ref="C137:H137"/>
    <mergeCell ref="A139:H139"/>
    <mergeCell ref="C130:H130"/>
    <mergeCell ref="C131:H131"/>
    <mergeCell ref="C132:H132"/>
    <mergeCell ref="C133:H133"/>
    <mergeCell ref="C134:H134"/>
    <mergeCell ref="A1:H1"/>
    <mergeCell ref="A2:H2"/>
    <mergeCell ref="A4:H4"/>
    <mergeCell ref="A5:H5"/>
    <mergeCell ref="A129:H129"/>
  </mergeCells>
  <conditionalFormatting sqref="H7:H125">
    <cfRule type="containsText" dxfId="4" priority="2" operator="containsText" text="Below Target">
      <formula>NOT(ISERROR(SEARCH("Below Target",H7)))</formula>
    </cfRule>
    <cfRule type="containsText" dxfId="3" priority="3" operator="containsText" text="Watch">
      <formula>NOT(ISERROR(SEARCH("Watch",H7)))</formula>
    </cfRule>
    <cfRule type="containsText" dxfId="2" priority="4" operator="containsText" text="On Track">
      <formula>NOT(ISERROR(SEARCH("On Track",H7)))</formula>
    </cfRule>
    <cfRule type="containsText" dxfId="1" priority="5" operator="containsText" text="On Track">
      <formula>NOT(ISERROR(SEARCH("On Track",H7)))</formula>
    </cfRule>
  </conditionalFormatting>
  <conditionalFormatting sqref="G7:H125">
    <cfRule type="containsText" dxfId="0" priority="1" operator="containsText" text="On Track">
      <formula>NOT(ISERROR(SEARCH("On Track",G7)))</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showGridLines="0" topLeftCell="A43" zoomScale="128" zoomScaleNormal="100" workbookViewId="0">
      <selection activeCell="C51" sqref="C51"/>
    </sheetView>
  </sheetViews>
  <sheetFormatPr defaultColWidth="8.7109375" defaultRowHeight="15" x14ac:dyDescent="0.25"/>
  <cols>
    <col min="1" max="1" width="28" customWidth="1"/>
    <col min="2" max="3" width="22" customWidth="1"/>
    <col min="4" max="4" width="18" customWidth="1"/>
  </cols>
  <sheetData>
    <row r="1" spans="1:2" ht="42" customHeight="1" x14ac:dyDescent="0.25">
      <c r="A1" s="14" t="s">
        <v>219</v>
      </c>
      <c r="B1" s="14"/>
    </row>
    <row r="2" spans="1:2" ht="24" customHeight="1" x14ac:dyDescent="0.25">
      <c r="A2" s="13" t="s">
        <v>220</v>
      </c>
      <c r="B2" s="13"/>
    </row>
    <row r="4" spans="1:2" ht="25.5" customHeight="1" x14ac:dyDescent="0.25">
      <c r="A4" s="12" t="s">
        <v>221</v>
      </c>
      <c r="B4" s="12"/>
    </row>
    <row r="5" spans="1:2" ht="24" customHeight="1" x14ac:dyDescent="0.25">
      <c r="A5" s="4" t="s">
        <v>222</v>
      </c>
      <c r="B5" s="4"/>
    </row>
    <row r="6" spans="1:2" ht="24" customHeight="1" x14ac:dyDescent="0.25">
      <c r="A6" s="3" t="s">
        <v>223</v>
      </c>
      <c r="B6" s="3"/>
    </row>
    <row r="7" spans="1:2" ht="24" customHeight="1" x14ac:dyDescent="0.25">
      <c r="A7" s="4" t="s">
        <v>224</v>
      </c>
      <c r="B7" s="4"/>
    </row>
    <row r="8" spans="1:2" ht="24" customHeight="1" x14ac:dyDescent="0.25">
      <c r="A8" s="3" t="s">
        <v>225</v>
      </c>
      <c r="B8" s="3"/>
    </row>
    <row r="10" spans="1:2" ht="25.5" customHeight="1" x14ac:dyDescent="0.25">
      <c r="A10" s="10" t="s">
        <v>226</v>
      </c>
      <c r="B10" s="10"/>
    </row>
    <row r="11" spans="1:2" ht="30" customHeight="1" x14ac:dyDescent="0.25">
      <c r="A11" s="38" t="s">
        <v>227</v>
      </c>
      <c r="B11" s="49" t="s">
        <v>228</v>
      </c>
    </row>
    <row r="12" spans="1:2" ht="30" customHeight="1" x14ac:dyDescent="0.25">
      <c r="A12" s="43" t="s">
        <v>229</v>
      </c>
      <c r="B12" s="43" t="s">
        <v>230</v>
      </c>
    </row>
    <row r="13" spans="1:2" ht="30" customHeight="1" x14ac:dyDescent="0.25">
      <c r="A13" s="47" t="s">
        <v>231</v>
      </c>
      <c r="B13" s="47" t="s">
        <v>232</v>
      </c>
    </row>
    <row r="14" spans="1:2" ht="30" customHeight="1" x14ac:dyDescent="0.25">
      <c r="A14" s="47" t="s">
        <v>233</v>
      </c>
      <c r="B14" s="47" t="s">
        <v>234</v>
      </c>
    </row>
    <row r="15" spans="1:2" ht="30" customHeight="1" x14ac:dyDescent="0.25">
      <c r="A15" s="46" t="s">
        <v>235</v>
      </c>
      <c r="B15" s="46" t="s">
        <v>236</v>
      </c>
    </row>
    <row r="16" spans="1:2" ht="30" customHeight="1" x14ac:dyDescent="0.25">
      <c r="A16" s="43" t="s">
        <v>237</v>
      </c>
      <c r="B16" s="43" t="s">
        <v>238</v>
      </c>
    </row>
    <row r="17" spans="1:4" ht="30" customHeight="1" x14ac:dyDescent="0.25">
      <c r="A17" s="38" t="s">
        <v>239</v>
      </c>
      <c r="B17" s="49" t="s">
        <v>240</v>
      </c>
    </row>
    <row r="18" spans="1:4" ht="30" customHeight="1" x14ac:dyDescent="0.25">
      <c r="A18" s="43" t="s">
        <v>241</v>
      </c>
      <c r="B18" s="43" t="s">
        <v>242</v>
      </c>
    </row>
    <row r="19" spans="1:4" ht="30" customHeight="1" x14ac:dyDescent="0.25">
      <c r="A19" s="47" t="s">
        <v>243</v>
      </c>
      <c r="B19" s="47" t="s">
        <v>244</v>
      </c>
    </row>
    <row r="20" spans="1:4" ht="30" customHeight="1" x14ac:dyDescent="0.25">
      <c r="A20" s="43" t="s">
        <v>245</v>
      </c>
      <c r="B20" s="43" t="s">
        <v>246</v>
      </c>
    </row>
    <row r="21" spans="1:4" ht="30" customHeight="1" x14ac:dyDescent="0.25">
      <c r="A21" s="38" t="s">
        <v>247</v>
      </c>
      <c r="B21" s="49" t="s">
        <v>248</v>
      </c>
    </row>
    <row r="22" spans="1:4" ht="30" customHeight="1" x14ac:dyDescent="0.25">
      <c r="A22" s="43" t="s">
        <v>249</v>
      </c>
      <c r="B22" s="43" t="s">
        <v>250</v>
      </c>
    </row>
    <row r="23" spans="1:4" ht="30" customHeight="1" x14ac:dyDescent="0.25">
      <c r="A23" s="46" t="s">
        <v>251</v>
      </c>
      <c r="B23" s="46" t="s">
        <v>252</v>
      </c>
    </row>
    <row r="24" spans="1:4" ht="30" customHeight="1" x14ac:dyDescent="0.25">
      <c r="A24" s="43" t="s">
        <v>253</v>
      </c>
      <c r="B24" s="43" t="s">
        <v>254</v>
      </c>
    </row>
    <row r="25" spans="1:4" ht="30" customHeight="1" x14ac:dyDescent="0.25">
      <c r="A25" s="46" t="s">
        <v>255</v>
      </c>
      <c r="B25" s="46" t="s">
        <v>256</v>
      </c>
    </row>
    <row r="27" spans="1:4" ht="25.5" customHeight="1" x14ac:dyDescent="0.25">
      <c r="A27" s="2" t="s">
        <v>257</v>
      </c>
      <c r="B27" s="2"/>
    </row>
    <row r="28" spans="1:4" ht="24" customHeight="1" x14ac:dyDescent="0.25">
      <c r="A28" s="34" t="s">
        <v>258</v>
      </c>
      <c r="B28" s="34" t="s">
        <v>259</v>
      </c>
      <c r="C28" s="34" t="s">
        <v>260</v>
      </c>
      <c r="D28" s="34" t="s">
        <v>261</v>
      </c>
    </row>
    <row r="29" spans="1:4" ht="19.5" customHeight="1" x14ac:dyDescent="0.25">
      <c r="A29" s="50" t="s">
        <v>262</v>
      </c>
      <c r="B29" s="50" t="s">
        <v>263</v>
      </c>
      <c r="C29" s="51" t="s">
        <v>264</v>
      </c>
      <c r="D29" s="52" t="s">
        <v>265</v>
      </c>
    </row>
    <row r="30" spans="1:4" ht="19.5" customHeight="1" x14ac:dyDescent="0.25">
      <c r="A30" s="53" t="s">
        <v>266</v>
      </c>
      <c r="B30" s="53" t="s">
        <v>267</v>
      </c>
      <c r="C30" s="51" t="s">
        <v>268</v>
      </c>
      <c r="D30" s="52" t="s">
        <v>265</v>
      </c>
    </row>
    <row r="31" spans="1:4" ht="19.5" customHeight="1" x14ac:dyDescent="0.25">
      <c r="A31" s="50" t="s">
        <v>269</v>
      </c>
      <c r="B31" s="50" t="s">
        <v>270</v>
      </c>
      <c r="C31" s="54" t="s">
        <v>271</v>
      </c>
      <c r="D31" s="55" t="s">
        <v>272</v>
      </c>
    </row>
    <row r="32" spans="1:4" ht="19.5" customHeight="1" x14ac:dyDescent="0.25">
      <c r="A32" s="53" t="s">
        <v>273</v>
      </c>
      <c r="B32" s="53" t="s">
        <v>274</v>
      </c>
      <c r="C32" s="56" t="s">
        <v>275</v>
      </c>
      <c r="D32" s="57" t="s">
        <v>276</v>
      </c>
    </row>
    <row r="33" spans="1:4" ht="19.5" customHeight="1" x14ac:dyDescent="0.25">
      <c r="A33" s="50" t="s">
        <v>277</v>
      </c>
      <c r="B33" s="50" t="s">
        <v>278</v>
      </c>
      <c r="C33" s="51" t="s">
        <v>279</v>
      </c>
      <c r="D33" s="52" t="s">
        <v>265</v>
      </c>
    </row>
    <row r="34" spans="1:4" ht="19.5" customHeight="1" x14ac:dyDescent="0.25">
      <c r="A34" s="53" t="s">
        <v>280</v>
      </c>
      <c r="B34" s="53" t="s">
        <v>281</v>
      </c>
      <c r="C34" s="56" t="s">
        <v>282</v>
      </c>
      <c r="D34" s="57" t="s">
        <v>276</v>
      </c>
    </row>
    <row r="35" spans="1:4" ht="19.5" customHeight="1" x14ac:dyDescent="0.25">
      <c r="A35" s="50" t="s">
        <v>283</v>
      </c>
      <c r="B35" s="50" t="s">
        <v>284</v>
      </c>
      <c r="C35" s="54" t="s">
        <v>285</v>
      </c>
      <c r="D35" s="55" t="s">
        <v>272</v>
      </c>
    </row>
    <row r="36" spans="1:4" ht="19.5" customHeight="1" x14ac:dyDescent="0.25">
      <c r="A36" s="53" t="s">
        <v>286</v>
      </c>
      <c r="B36" s="53" t="s">
        <v>287</v>
      </c>
      <c r="C36" s="56" t="s">
        <v>288</v>
      </c>
      <c r="D36" s="57" t="s">
        <v>276</v>
      </c>
    </row>
    <row r="37" spans="1:4" ht="19.5" customHeight="1" x14ac:dyDescent="0.25">
      <c r="A37" s="50" t="s">
        <v>289</v>
      </c>
      <c r="B37" s="50" t="s">
        <v>290</v>
      </c>
      <c r="C37" s="54" t="s">
        <v>291</v>
      </c>
      <c r="D37" s="55" t="s">
        <v>272</v>
      </c>
    </row>
    <row r="38" spans="1:4" ht="19.5" customHeight="1" x14ac:dyDescent="0.25">
      <c r="A38" s="53" t="s">
        <v>292</v>
      </c>
      <c r="B38" s="53" t="s">
        <v>293</v>
      </c>
      <c r="C38" s="56" t="s">
        <v>294</v>
      </c>
      <c r="D38" s="57" t="s">
        <v>276</v>
      </c>
    </row>
    <row r="39" spans="1:4" ht="19.5" customHeight="1" x14ac:dyDescent="0.25">
      <c r="A39" s="50" t="s">
        <v>295</v>
      </c>
      <c r="B39" s="50" t="s">
        <v>296</v>
      </c>
      <c r="C39" s="54" t="s">
        <v>297</v>
      </c>
      <c r="D39" s="55" t="s">
        <v>272</v>
      </c>
    </row>
    <row r="40" spans="1:4" ht="19.5" customHeight="1" x14ac:dyDescent="0.25">
      <c r="A40" s="53" t="s">
        <v>298</v>
      </c>
      <c r="B40" s="53" t="s">
        <v>299</v>
      </c>
      <c r="C40" s="56" t="s">
        <v>300</v>
      </c>
      <c r="D40" s="57" t="s">
        <v>276</v>
      </c>
    </row>
    <row r="41" spans="1:4" ht="19.5" customHeight="1" x14ac:dyDescent="0.25">
      <c r="A41" s="50" t="s">
        <v>301</v>
      </c>
      <c r="B41" s="50" t="s">
        <v>302</v>
      </c>
      <c r="C41" s="54" t="s">
        <v>303</v>
      </c>
      <c r="D41" s="55" t="s">
        <v>272</v>
      </c>
    </row>
    <row r="42" spans="1:4" ht="19.5" customHeight="1" x14ac:dyDescent="0.25">
      <c r="A42" s="53" t="s">
        <v>304</v>
      </c>
      <c r="B42" s="53" t="s">
        <v>305</v>
      </c>
      <c r="C42" s="54" t="s">
        <v>306</v>
      </c>
      <c r="D42" s="55" t="s">
        <v>272</v>
      </c>
    </row>
    <row r="43" spans="1:4" ht="19.5" customHeight="1" x14ac:dyDescent="0.25">
      <c r="A43" s="50" t="s">
        <v>307</v>
      </c>
      <c r="B43" s="50" t="s">
        <v>308</v>
      </c>
      <c r="C43" s="51" t="s">
        <v>309</v>
      </c>
      <c r="D43" s="52" t="s">
        <v>265</v>
      </c>
    </row>
    <row r="45" spans="1:4" ht="25.5" customHeight="1" x14ac:dyDescent="0.25">
      <c r="A45" s="8" t="s">
        <v>310</v>
      </c>
      <c r="B45" s="8"/>
    </row>
    <row r="46" spans="1:4" ht="31.5" customHeight="1" x14ac:dyDescent="0.25">
      <c r="A46" s="38" t="s">
        <v>311</v>
      </c>
      <c r="B46" s="99" t="s">
        <v>525</v>
      </c>
    </row>
    <row r="47" spans="1:4" ht="31.5" customHeight="1" x14ac:dyDescent="0.25">
      <c r="A47" s="38" t="s">
        <v>312</v>
      </c>
      <c r="B47" s="99" t="s">
        <v>526</v>
      </c>
    </row>
    <row r="48" spans="1:4" ht="31.5" customHeight="1" x14ac:dyDescent="0.25">
      <c r="A48" s="38" t="s">
        <v>313</v>
      </c>
      <c r="B48" s="99" t="s">
        <v>527</v>
      </c>
    </row>
    <row r="49" spans="1:2" ht="31.5" customHeight="1" x14ac:dyDescent="0.25">
      <c r="A49" s="38" t="s">
        <v>314</v>
      </c>
      <c r="B49" s="99" t="s">
        <v>528</v>
      </c>
    </row>
    <row r="50" spans="1:2" ht="31.5" customHeight="1" x14ac:dyDescent="0.25">
      <c r="A50" s="38" t="s">
        <v>315</v>
      </c>
      <c r="B50" s="99" t="s">
        <v>529</v>
      </c>
    </row>
    <row r="52" spans="1:2" ht="31.5" customHeight="1" x14ac:dyDescent="0.25">
      <c r="A52" s="1" t="s">
        <v>316</v>
      </c>
      <c r="B52" s="1"/>
    </row>
  </sheetData>
  <mergeCells count="11">
    <mergeCell ref="A52:B52"/>
    <mergeCell ref="A7:B7"/>
    <mergeCell ref="A8:B8"/>
    <mergeCell ref="A10:B10"/>
    <mergeCell ref="A27:B27"/>
    <mergeCell ref="A45:B45"/>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5"/>
  <sheetViews>
    <sheetView showGridLines="0" topLeftCell="A46" zoomScale="107" zoomScaleNormal="100" workbookViewId="0">
      <selection activeCell="B53" sqref="B53"/>
    </sheetView>
  </sheetViews>
  <sheetFormatPr defaultColWidth="8.7109375" defaultRowHeight="15" x14ac:dyDescent="0.25"/>
  <cols>
    <col min="1" max="1" width="24" customWidth="1"/>
    <col min="2" max="2" width="72" customWidth="1"/>
  </cols>
  <sheetData>
    <row r="1" spans="1:10" ht="42" customHeight="1" x14ac:dyDescent="0.25">
      <c r="A1" s="14" t="s">
        <v>317</v>
      </c>
      <c r="B1" s="14"/>
    </row>
    <row r="2" spans="1:10" ht="24" customHeight="1" x14ac:dyDescent="0.25">
      <c r="A2" s="13" t="s">
        <v>318</v>
      </c>
      <c r="B2" s="13"/>
    </row>
    <row r="4" spans="1:10" ht="25.5" customHeight="1" x14ac:dyDescent="0.25">
      <c r="A4" s="12" t="s">
        <v>221</v>
      </c>
      <c r="B4" s="12"/>
    </row>
    <row r="5" spans="1:10" ht="24" customHeight="1" x14ac:dyDescent="0.25">
      <c r="A5" s="4" t="s">
        <v>319</v>
      </c>
      <c r="B5" s="4"/>
    </row>
    <row r="6" spans="1:10" ht="24" customHeight="1" x14ac:dyDescent="0.25">
      <c r="A6" s="3" t="s">
        <v>320</v>
      </c>
      <c r="B6" s="3"/>
    </row>
    <row r="7" spans="1:10" ht="24" customHeight="1" x14ac:dyDescent="0.25">
      <c r="A7" s="4" t="s">
        <v>321</v>
      </c>
      <c r="B7" s="4"/>
    </row>
    <row r="8" spans="1:10" ht="24" customHeight="1" x14ac:dyDescent="0.25">
      <c r="A8" s="3" t="s">
        <v>322</v>
      </c>
      <c r="B8" s="3"/>
    </row>
    <row r="10" spans="1:10" ht="25.5" customHeight="1" x14ac:dyDescent="0.25">
      <c r="A10" s="10" t="s">
        <v>323</v>
      </c>
      <c r="B10" s="10"/>
    </row>
    <row r="11" spans="1:10" ht="27.75" customHeight="1" x14ac:dyDescent="0.25">
      <c r="A11" s="59" t="s">
        <v>324</v>
      </c>
      <c r="B11" s="72" t="s">
        <v>325</v>
      </c>
      <c r="C11" s="72"/>
      <c r="D11" s="72"/>
      <c r="E11" s="72"/>
      <c r="F11" s="72"/>
      <c r="G11" s="72"/>
      <c r="H11" s="72"/>
      <c r="I11" s="72"/>
      <c r="J11" s="72"/>
    </row>
    <row r="12" spans="1:10" ht="27.75" customHeight="1" x14ac:dyDescent="0.25">
      <c r="A12" s="59" t="s">
        <v>326</v>
      </c>
      <c r="B12" s="73" t="s">
        <v>327</v>
      </c>
      <c r="C12" s="73"/>
      <c r="D12" s="73"/>
      <c r="E12" s="73"/>
      <c r="F12" s="73"/>
      <c r="G12" s="73"/>
      <c r="H12" s="73"/>
      <c r="I12" s="73"/>
      <c r="J12" s="73"/>
    </row>
    <row r="13" spans="1:10" ht="27.75" customHeight="1" x14ac:dyDescent="0.25">
      <c r="A13" s="59" t="s">
        <v>328</v>
      </c>
      <c r="B13" s="72" t="s">
        <v>329</v>
      </c>
      <c r="C13" s="72"/>
      <c r="D13" s="72"/>
      <c r="E13" s="72"/>
      <c r="F13" s="72"/>
      <c r="G13" s="72"/>
      <c r="H13" s="72"/>
      <c r="I13" s="72"/>
      <c r="J13" s="72"/>
    </row>
    <row r="14" spans="1:10" ht="27.75" customHeight="1" x14ac:dyDescent="0.25">
      <c r="A14" s="59" t="s">
        <v>330</v>
      </c>
      <c r="B14" s="73" t="s">
        <v>331</v>
      </c>
      <c r="C14" s="73"/>
      <c r="D14" s="73"/>
      <c r="E14" s="73"/>
      <c r="F14" s="73"/>
      <c r="G14" s="73"/>
      <c r="H14" s="73"/>
      <c r="I14" s="73"/>
      <c r="J14" s="73"/>
    </row>
    <row r="15" spans="1:10" ht="27.75" customHeight="1" x14ac:dyDescent="0.25">
      <c r="A15" s="59" t="s">
        <v>332</v>
      </c>
      <c r="B15" s="72" t="s">
        <v>333</v>
      </c>
      <c r="C15" s="72"/>
      <c r="D15" s="72"/>
      <c r="E15" s="72"/>
      <c r="F15" s="72"/>
      <c r="G15" s="72"/>
      <c r="H15" s="72"/>
      <c r="I15" s="72"/>
      <c r="J15" s="72"/>
    </row>
    <row r="16" spans="1:10" ht="27.75" customHeight="1" x14ac:dyDescent="0.25">
      <c r="A16" s="59" t="s">
        <v>334</v>
      </c>
      <c r="B16" s="73" t="s">
        <v>335</v>
      </c>
      <c r="C16" s="73"/>
      <c r="D16" s="73"/>
      <c r="E16" s="73"/>
      <c r="F16" s="73"/>
      <c r="G16" s="73"/>
      <c r="H16" s="73"/>
      <c r="I16" s="73"/>
      <c r="J16" s="73"/>
    </row>
    <row r="17" spans="1:10" ht="27.75" customHeight="1" x14ac:dyDescent="0.25">
      <c r="A17" s="59" t="s">
        <v>336</v>
      </c>
      <c r="B17" s="72" t="s">
        <v>337</v>
      </c>
      <c r="C17" s="72"/>
      <c r="D17" s="72"/>
      <c r="E17" s="72"/>
      <c r="F17" s="72"/>
      <c r="G17" s="72"/>
      <c r="H17" s="72"/>
      <c r="I17" s="72"/>
      <c r="J17" s="72"/>
    </row>
    <row r="18" spans="1:10" ht="27.75" customHeight="1" x14ac:dyDescent="0.25">
      <c r="A18" s="59" t="s">
        <v>338</v>
      </c>
      <c r="B18" s="73" t="s">
        <v>339</v>
      </c>
      <c r="C18" s="73"/>
      <c r="D18" s="73"/>
      <c r="E18" s="73"/>
      <c r="F18" s="73"/>
      <c r="G18" s="73"/>
      <c r="H18" s="73"/>
      <c r="I18" s="73"/>
      <c r="J18" s="73"/>
    </row>
    <row r="19" spans="1:10" ht="27.75" customHeight="1" x14ac:dyDescent="0.25">
      <c r="A19" s="59" t="s">
        <v>340</v>
      </c>
      <c r="B19" s="72" t="s">
        <v>341</v>
      </c>
      <c r="C19" s="72"/>
      <c r="D19" s="72"/>
      <c r="E19" s="72"/>
      <c r="F19" s="72"/>
      <c r="G19" s="72"/>
      <c r="H19" s="72"/>
      <c r="I19" s="72"/>
      <c r="J19" s="72"/>
    </row>
    <row r="20" spans="1:10" ht="27.75" customHeight="1" x14ac:dyDescent="0.25">
      <c r="A20" s="59" t="s">
        <v>342</v>
      </c>
      <c r="B20" s="74" t="s">
        <v>343</v>
      </c>
      <c r="C20" s="74"/>
      <c r="D20" s="74"/>
      <c r="E20" s="74"/>
      <c r="F20" s="74"/>
      <c r="G20" s="74"/>
      <c r="H20" s="74"/>
      <c r="I20" s="74"/>
      <c r="J20" s="74"/>
    </row>
    <row r="22" spans="1:10" ht="25.5" customHeight="1" x14ac:dyDescent="0.25">
      <c r="A22" s="8" t="s">
        <v>344</v>
      </c>
      <c r="B22" s="8"/>
    </row>
    <row r="23" spans="1:10" ht="27.75" customHeight="1" x14ac:dyDescent="0.25">
      <c r="A23" s="59" t="s">
        <v>324</v>
      </c>
      <c r="B23" s="72" t="s">
        <v>345</v>
      </c>
      <c r="C23" s="72"/>
      <c r="D23" s="72"/>
      <c r="E23" s="72"/>
      <c r="F23" s="72"/>
      <c r="G23" s="72"/>
      <c r="H23" s="72"/>
      <c r="I23" s="72"/>
      <c r="J23" s="72"/>
    </row>
    <row r="24" spans="1:10" ht="27.75" customHeight="1" x14ac:dyDescent="0.25">
      <c r="A24" s="59" t="s">
        <v>326</v>
      </c>
      <c r="B24" s="73" t="s">
        <v>346</v>
      </c>
      <c r="C24" s="73"/>
      <c r="D24" s="73"/>
      <c r="E24" s="73"/>
      <c r="F24" s="73"/>
      <c r="G24" s="73"/>
      <c r="H24" s="73"/>
      <c r="I24" s="73"/>
      <c r="J24" s="73"/>
    </row>
    <row r="25" spans="1:10" ht="27.75" customHeight="1" x14ac:dyDescent="0.25">
      <c r="A25" s="59" t="s">
        <v>328</v>
      </c>
      <c r="B25" s="72" t="s">
        <v>347</v>
      </c>
      <c r="C25" s="72"/>
      <c r="D25" s="72"/>
      <c r="E25" s="72"/>
      <c r="F25" s="72"/>
      <c r="G25" s="72"/>
      <c r="H25" s="72"/>
      <c r="I25" s="72"/>
      <c r="J25" s="72"/>
    </row>
    <row r="26" spans="1:10" ht="27.75" customHeight="1" x14ac:dyDescent="0.25">
      <c r="A26" s="59" t="s">
        <v>330</v>
      </c>
      <c r="B26" s="73" t="s">
        <v>348</v>
      </c>
      <c r="C26" s="73"/>
      <c r="D26" s="73"/>
      <c r="E26" s="73"/>
      <c r="F26" s="73"/>
      <c r="G26" s="73"/>
      <c r="H26" s="73"/>
      <c r="I26" s="73"/>
      <c r="J26" s="73"/>
    </row>
    <row r="27" spans="1:10" ht="27.75" customHeight="1" x14ac:dyDescent="0.25">
      <c r="A27" s="59" t="s">
        <v>332</v>
      </c>
      <c r="B27" s="72" t="s">
        <v>349</v>
      </c>
      <c r="C27" s="72"/>
      <c r="D27" s="72"/>
      <c r="E27" s="72"/>
      <c r="F27" s="72"/>
      <c r="G27" s="72"/>
      <c r="H27" s="72"/>
      <c r="I27" s="72"/>
      <c r="J27" s="72"/>
    </row>
    <row r="28" spans="1:10" ht="27.75" customHeight="1" x14ac:dyDescent="0.25">
      <c r="A28" s="59" t="s">
        <v>334</v>
      </c>
      <c r="B28" s="73" t="s">
        <v>350</v>
      </c>
      <c r="C28" s="73"/>
      <c r="D28" s="73"/>
      <c r="E28" s="73"/>
      <c r="F28" s="73"/>
      <c r="G28" s="73"/>
      <c r="H28" s="73"/>
      <c r="I28" s="73"/>
      <c r="J28" s="73"/>
    </row>
    <row r="29" spans="1:10" ht="27.75" customHeight="1" x14ac:dyDescent="0.25">
      <c r="A29" s="59" t="s">
        <v>336</v>
      </c>
      <c r="B29" s="72" t="s">
        <v>351</v>
      </c>
      <c r="C29" s="72"/>
      <c r="D29" s="72"/>
      <c r="E29" s="72"/>
      <c r="F29" s="72"/>
      <c r="G29" s="72"/>
      <c r="H29" s="72"/>
      <c r="I29" s="72"/>
      <c r="J29" s="72"/>
    </row>
    <row r="30" spans="1:10" ht="27.75" customHeight="1" x14ac:dyDescent="0.25">
      <c r="A30" s="59" t="s">
        <v>338</v>
      </c>
      <c r="B30" s="73" t="s">
        <v>352</v>
      </c>
      <c r="C30" s="73"/>
      <c r="D30" s="73"/>
      <c r="E30" s="73"/>
      <c r="F30" s="73"/>
      <c r="G30" s="73"/>
      <c r="H30" s="73"/>
      <c r="I30" s="73"/>
      <c r="J30" s="73"/>
    </row>
    <row r="31" spans="1:10" ht="27.75" customHeight="1" x14ac:dyDescent="0.25">
      <c r="A31" s="59" t="s">
        <v>340</v>
      </c>
      <c r="B31" s="72" t="s">
        <v>353</v>
      </c>
      <c r="C31" s="72"/>
      <c r="D31" s="72"/>
      <c r="E31" s="72"/>
      <c r="F31" s="72"/>
      <c r="G31" s="72"/>
      <c r="H31" s="72"/>
      <c r="I31" s="72"/>
      <c r="J31" s="72"/>
    </row>
    <row r="32" spans="1:10" ht="27.75" customHeight="1" x14ac:dyDescent="0.25">
      <c r="A32" s="59" t="s">
        <v>354</v>
      </c>
      <c r="B32" s="73" t="s">
        <v>355</v>
      </c>
      <c r="C32" s="73"/>
      <c r="D32" s="73"/>
      <c r="E32" s="73"/>
      <c r="F32" s="73"/>
      <c r="G32" s="73"/>
      <c r="H32" s="73"/>
      <c r="I32" s="73"/>
      <c r="J32" s="73"/>
    </row>
    <row r="33" spans="1:10" ht="27.75" customHeight="1" x14ac:dyDescent="0.25">
      <c r="A33" s="59" t="s">
        <v>356</v>
      </c>
      <c r="B33" s="75" t="s">
        <v>357</v>
      </c>
      <c r="C33" s="75"/>
      <c r="D33" s="75"/>
      <c r="E33" s="75"/>
      <c r="F33" s="75"/>
      <c r="G33" s="75"/>
      <c r="H33" s="75"/>
      <c r="I33" s="75"/>
      <c r="J33" s="75"/>
    </row>
    <row r="35" spans="1:10" ht="25.5" customHeight="1" x14ac:dyDescent="0.25">
      <c r="A35" s="76" t="s">
        <v>358</v>
      </c>
      <c r="B35" s="76"/>
    </row>
    <row r="36" spans="1:10" ht="27.75" customHeight="1" x14ac:dyDescent="0.25">
      <c r="A36" s="59" t="s">
        <v>324</v>
      </c>
      <c r="B36" s="73" t="s">
        <v>359</v>
      </c>
      <c r="C36" s="73"/>
      <c r="D36" s="73"/>
      <c r="E36" s="73"/>
      <c r="F36" s="73"/>
      <c r="G36" s="73"/>
      <c r="H36" s="73"/>
      <c r="I36" s="73"/>
      <c r="J36" s="73"/>
    </row>
    <row r="37" spans="1:10" ht="27.75" customHeight="1" x14ac:dyDescent="0.25">
      <c r="A37" s="59" t="s">
        <v>326</v>
      </c>
      <c r="B37" s="72" t="s">
        <v>360</v>
      </c>
      <c r="C37" s="72"/>
      <c r="D37" s="72"/>
      <c r="E37" s="72"/>
      <c r="F37" s="72"/>
      <c r="G37" s="72"/>
      <c r="H37" s="72"/>
      <c r="I37" s="72"/>
      <c r="J37" s="72"/>
    </row>
    <row r="38" spans="1:10" ht="27.75" customHeight="1" x14ac:dyDescent="0.25">
      <c r="A38" s="59" t="s">
        <v>328</v>
      </c>
      <c r="B38" s="73" t="s">
        <v>361</v>
      </c>
      <c r="C38" s="73"/>
      <c r="D38" s="73"/>
      <c r="E38" s="73"/>
      <c r="F38" s="73"/>
      <c r="G38" s="73"/>
      <c r="H38" s="73"/>
      <c r="I38" s="73"/>
      <c r="J38" s="73"/>
    </row>
    <row r="39" spans="1:10" ht="27.75" customHeight="1" x14ac:dyDescent="0.25">
      <c r="A39" s="59" t="s">
        <v>330</v>
      </c>
      <c r="B39" s="72" t="s">
        <v>362</v>
      </c>
      <c r="C39" s="72"/>
      <c r="D39" s="72"/>
      <c r="E39" s="72"/>
      <c r="F39" s="72"/>
      <c r="G39" s="72"/>
      <c r="H39" s="72"/>
      <c r="I39" s="72"/>
      <c r="J39" s="72"/>
    </row>
    <row r="40" spans="1:10" ht="27.75" customHeight="1" x14ac:dyDescent="0.25">
      <c r="A40" s="59" t="s">
        <v>332</v>
      </c>
      <c r="B40" s="73" t="s">
        <v>363</v>
      </c>
      <c r="C40" s="73"/>
      <c r="D40" s="73"/>
      <c r="E40" s="73"/>
      <c r="F40" s="73"/>
      <c r="G40" s="73"/>
      <c r="H40" s="73"/>
      <c r="I40" s="73"/>
      <c r="J40" s="73"/>
    </row>
    <row r="41" spans="1:10" ht="27.75" customHeight="1" x14ac:dyDescent="0.25">
      <c r="A41" s="59" t="s">
        <v>334</v>
      </c>
      <c r="B41" s="72" t="s">
        <v>364</v>
      </c>
      <c r="C41" s="72"/>
      <c r="D41" s="72"/>
      <c r="E41" s="72"/>
      <c r="F41" s="72"/>
      <c r="G41" s="72"/>
      <c r="H41" s="72"/>
      <c r="I41" s="72"/>
      <c r="J41" s="72"/>
    </row>
    <row r="42" spans="1:10" ht="27.75" customHeight="1" x14ac:dyDescent="0.25">
      <c r="A42" s="59" t="s">
        <v>336</v>
      </c>
      <c r="B42" s="73" t="s">
        <v>365</v>
      </c>
      <c r="C42" s="73"/>
      <c r="D42" s="73"/>
      <c r="E42" s="73"/>
      <c r="F42" s="73"/>
      <c r="G42" s="73"/>
      <c r="H42" s="73"/>
      <c r="I42" s="73"/>
      <c r="J42" s="73"/>
    </row>
    <row r="43" spans="1:10" ht="27.75" customHeight="1" x14ac:dyDescent="0.25">
      <c r="A43" s="59" t="s">
        <v>338</v>
      </c>
      <c r="B43" s="72" t="s">
        <v>366</v>
      </c>
      <c r="C43" s="72"/>
      <c r="D43" s="72"/>
      <c r="E43" s="72"/>
      <c r="F43" s="72"/>
      <c r="G43" s="72"/>
      <c r="H43" s="72"/>
      <c r="I43" s="72"/>
      <c r="J43" s="72"/>
    </row>
    <row r="44" spans="1:10" ht="27.75" customHeight="1" x14ac:dyDescent="0.25">
      <c r="A44" s="59" t="s">
        <v>340</v>
      </c>
      <c r="B44" s="73" t="s">
        <v>367</v>
      </c>
      <c r="C44" s="73"/>
      <c r="D44" s="73"/>
      <c r="E44" s="73"/>
      <c r="F44" s="73"/>
      <c r="G44" s="73"/>
      <c r="H44" s="73"/>
      <c r="I44" s="73"/>
      <c r="J44" s="73"/>
    </row>
    <row r="45" spans="1:10" ht="27.75" customHeight="1" x14ac:dyDescent="0.25">
      <c r="A45" s="59" t="s">
        <v>356</v>
      </c>
      <c r="B45" s="77" t="s">
        <v>368</v>
      </c>
      <c r="C45" s="77"/>
      <c r="D45" s="77"/>
      <c r="E45" s="77"/>
      <c r="F45" s="77"/>
      <c r="G45" s="77"/>
      <c r="H45" s="77"/>
      <c r="I45" s="77"/>
      <c r="J45" s="77"/>
    </row>
    <row r="46" spans="1:10" ht="27.75" customHeight="1" x14ac:dyDescent="0.25">
      <c r="A46" s="59" t="s">
        <v>356</v>
      </c>
      <c r="B46" s="77" t="s">
        <v>369</v>
      </c>
      <c r="C46" s="77"/>
      <c r="D46" s="77"/>
      <c r="E46" s="77"/>
      <c r="F46" s="77"/>
      <c r="G46" s="77"/>
      <c r="H46" s="77"/>
      <c r="I46" s="77"/>
      <c r="J46" s="77"/>
    </row>
    <row r="48" spans="1:10" ht="25.5" customHeight="1" x14ac:dyDescent="0.25">
      <c r="A48" s="8" t="s">
        <v>310</v>
      </c>
      <c r="B48" s="8"/>
    </row>
    <row r="49" spans="1:2" ht="31.5" customHeight="1" x14ac:dyDescent="0.25">
      <c r="A49" s="38" t="s">
        <v>370</v>
      </c>
      <c r="B49" s="58" t="s">
        <v>518</v>
      </c>
    </row>
    <row r="50" spans="1:2" ht="31.5" customHeight="1" x14ac:dyDescent="0.25">
      <c r="A50" s="38" t="s">
        <v>371</v>
      </c>
      <c r="B50" s="58" t="s">
        <v>519</v>
      </c>
    </row>
    <row r="51" spans="1:2" ht="31.5" customHeight="1" x14ac:dyDescent="0.25">
      <c r="A51" s="38" t="s">
        <v>372</v>
      </c>
      <c r="B51" s="58" t="s">
        <v>520</v>
      </c>
    </row>
    <row r="52" spans="1:2" ht="31.5" customHeight="1" x14ac:dyDescent="0.25">
      <c r="A52" s="38" t="s">
        <v>373</v>
      </c>
      <c r="B52" s="58" t="s">
        <v>522</v>
      </c>
    </row>
    <row r="53" spans="1:2" ht="31.5" customHeight="1" x14ac:dyDescent="0.25">
      <c r="A53" s="38" t="s">
        <v>374</v>
      </c>
      <c r="B53" s="58" t="s">
        <v>521</v>
      </c>
    </row>
    <row r="55" spans="1:2" ht="31.5" customHeight="1" x14ac:dyDescent="0.25">
      <c r="A55" s="5" t="s">
        <v>375</v>
      </c>
      <c r="B55" s="5"/>
    </row>
  </sheetData>
  <mergeCells count="44">
    <mergeCell ref="B45:J45"/>
    <mergeCell ref="B46:J46"/>
    <mergeCell ref="A48:B48"/>
    <mergeCell ref="A55:B55"/>
    <mergeCell ref="B40:J40"/>
    <mergeCell ref="B41:J41"/>
    <mergeCell ref="B42:J42"/>
    <mergeCell ref="B43:J43"/>
    <mergeCell ref="B44:J44"/>
    <mergeCell ref="A35:B35"/>
    <mergeCell ref="B36:J36"/>
    <mergeCell ref="B37:J37"/>
    <mergeCell ref="B38:J38"/>
    <mergeCell ref="B39:J39"/>
    <mergeCell ref="B29:J29"/>
    <mergeCell ref="B30:J30"/>
    <mergeCell ref="B31:J31"/>
    <mergeCell ref="B32:J32"/>
    <mergeCell ref="B33:J33"/>
    <mergeCell ref="B24:J24"/>
    <mergeCell ref="B25:J25"/>
    <mergeCell ref="B26:J26"/>
    <mergeCell ref="B27:J27"/>
    <mergeCell ref="B28:J28"/>
    <mergeCell ref="B18:J18"/>
    <mergeCell ref="B19:J19"/>
    <mergeCell ref="B20:J20"/>
    <mergeCell ref="A22:B22"/>
    <mergeCell ref="B23:J23"/>
    <mergeCell ref="B13:J13"/>
    <mergeCell ref="B14:J14"/>
    <mergeCell ref="B15:J15"/>
    <mergeCell ref="B16:J16"/>
    <mergeCell ref="B17:J17"/>
    <mergeCell ref="A7:B7"/>
    <mergeCell ref="A8:B8"/>
    <mergeCell ref="A10:B10"/>
    <mergeCell ref="B11:J11"/>
    <mergeCell ref="B12:J12"/>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6"/>
  <sheetViews>
    <sheetView showGridLines="0" tabSelected="1" topLeftCell="A43" zoomScale="105" zoomScaleNormal="100" workbookViewId="0">
      <selection activeCell="B47" sqref="B47"/>
    </sheetView>
  </sheetViews>
  <sheetFormatPr defaultColWidth="8.7109375" defaultRowHeight="15" x14ac:dyDescent="0.25"/>
  <cols>
    <col min="1" max="1" width="24" customWidth="1"/>
    <col min="2" max="2" width="72" customWidth="1"/>
  </cols>
  <sheetData>
    <row r="1" spans="1:2" ht="42" customHeight="1" x14ac:dyDescent="0.25">
      <c r="A1" s="14" t="s">
        <v>376</v>
      </c>
      <c r="B1" s="14"/>
    </row>
    <row r="2" spans="1:2" ht="24" customHeight="1" x14ac:dyDescent="0.25">
      <c r="A2" s="13" t="s">
        <v>377</v>
      </c>
      <c r="B2" s="13"/>
    </row>
    <row r="4" spans="1:2" ht="25.5" customHeight="1" x14ac:dyDescent="0.25">
      <c r="A4" s="12" t="s">
        <v>378</v>
      </c>
      <c r="B4" s="12"/>
    </row>
    <row r="5" spans="1:2" ht="31.5" customHeight="1" x14ac:dyDescent="0.25">
      <c r="A5" s="9" t="s">
        <v>379</v>
      </c>
      <c r="B5" s="9"/>
    </row>
    <row r="7" spans="1:2" ht="25.5" customHeight="1" x14ac:dyDescent="0.25">
      <c r="A7" s="12" t="s">
        <v>380</v>
      </c>
      <c r="B7" s="12"/>
    </row>
    <row r="8" spans="1:2" ht="31.5" customHeight="1" x14ac:dyDescent="0.25">
      <c r="A8" s="60" t="s">
        <v>381</v>
      </c>
      <c r="B8" s="19" t="s">
        <v>382</v>
      </c>
    </row>
    <row r="9" spans="1:2" ht="31.5" customHeight="1" x14ac:dyDescent="0.25">
      <c r="A9" s="61" t="s">
        <v>383</v>
      </c>
      <c r="B9" s="62" t="s">
        <v>384</v>
      </c>
    </row>
    <row r="10" spans="1:2" ht="31.5" customHeight="1" x14ac:dyDescent="0.25">
      <c r="A10" s="63" t="s">
        <v>385</v>
      </c>
      <c r="B10" s="64" t="s">
        <v>386</v>
      </c>
    </row>
    <row r="11" spans="1:2" ht="31.5" customHeight="1" x14ac:dyDescent="0.25">
      <c r="A11" s="65" t="s">
        <v>387</v>
      </c>
      <c r="B11" s="66" t="s">
        <v>388</v>
      </c>
    </row>
    <row r="13" spans="1:2" ht="25.5" customHeight="1" x14ac:dyDescent="0.25">
      <c r="A13" s="10" t="s">
        <v>389</v>
      </c>
      <c r="B13" s="10"/>
    </row>
    <row r="14" spans="1:2" ht="36" customHeight="1" x14ac:dyDescent="0.25">
      <c r="A14" s="38" t="s">
        <v>390</v>
      </c>
      <c r="B14" s="67" t="s">
        <v>391</v>
      </c>
    </row>
    <row r="15" spans="1:2" ht="36" customHeight="1" x14ac:dyDescent="0.25">
      <c r="A15" s="38" t="s">
        <v>392</v>
      </c>
      <c r="B15" s="68" t="s">
        <v>393</v>
      </c>
    </row>
    <row r="16" spans="1:2" ht="36" customHeight="1" x14ac:dyDescent="0.25">
      <c r="A16" s="38" t="s">
        <v>394</v>
      </c>
      <c r="B16" s="67" t="s">
        <v>395</v>
      </c>
    </row>
    <row r="17" spans="1:2" ht="36" customHeight="1" x14ac:dyDescent="0.25">
      <c r="A17" s="38" t="s">
        <v>396</v>
      </c>
      <c r="B17" s="92" t="s">
        <v>397</v>
      </c>
    </row>
    <row r="18" spans="1:2" ht="36" customHeight="1" x14ac:dyDescent="0.25">
      <c r="A18" s="38" t="s">
        <v>398</v>
      </c>
      <c r="B18" s="94" t="s">
        <v>399</v>
      </c>
    </row>
    <row r="19" spans="1:2" ht="36" customHeight="1" x14ac:dyDescent="0.25">
      <c r="A19" s="38" t="s">
        <v>400</v>
      </c>
      <c r="B19" s="92" t="s">
        <v>401</v>
      </c>
    </row>
    <row r="20" spans="1:2" ht="36" customHeight="1" x14ac:dyDescent="0.25">
      <c r="A20" s="38" t="s">
        <v>402</v>
      </c>
      <c r="B20" s="67" t="s">
        <v>403</v>
      </c>
    </row>
    <row r="21" spans="1:2" ht="36" customHeight="1" x14ac:dyDescent="0.25">
      <c r="A21" s="38" t="s">
        <v>404</v>
      </c>
      <c r="B21" s="68" t="s">
        <v>405</v>
      </c>
    </row>
    <row r="22" spans="1:2" ht="36" customHeight="1" x14ac:dyDescent="0.25">
      <c r="A22" s="38" t="s">
        <v>406</v>
      </c>
      <c r="B22" s="67" t="s">
        <v>407</v>
      </c>
    </row>
    <row r="23" spans="1:2" ht="36" customHeight="1" x14ac:dyDescent="0.25">
      <c r="A23" s="38" t="s">
        <v>408</v>
      </c>
      <c r="B23" s="68" t="s">
        <v>409</v>
      </c>
    </row>
    <row r="24" spans="1:2" ht="36" customHeight="1" x14ac:dyDescent="0.25">
      <c r="A24" s="38" t="s">
        <v>410</v>
      </c>
      <c r="B24" s="94" t="s">
        <v>411</v>
      </c>
    </row>
    <row r="25" spans="1:2" ht="36" customHeight="1" x14ac:dyDescent="0.25">
      <c r="A25" s="38" t="s">
        <v>412</v>
      </c>
      <c r="B25" s="68" t="s">
        <v>413</v>
      </c>
    </row>
    <row r="26" spans="1:2" ht="36" customHeight="1" x14ac:dyDescent="0.25">
      <c r="A26" s="38" t="s">
        <v>414</v>
      </c>
      <c r="B26" s="67" t="s">
        <v>415</v>
      </c>
    </row>
    <row r="27" spans="1:2" ht="36" customHeight="1" x14ac:dyDescent="0.25">
      <c r="A27" s="38" t="s">
        <v>416</v>
      </c>
      <c r="B27" s="68" t="s">
        <v>417</v>
      </c>
    </row>
    <row r="28" spans="1:2" ht="36" customHeight="1" x14ac:dyDescent="0.25">
      <c r="A28" s="38" t="s">
        <v>418</v>
      </c>
      <c r="B28" s="49" t="s">
        <v>419</v>
      </c>
    </row>
    <row r="29" spans="1:2" ht="36" customHeight="1" x14ac:dyDescent="0.25">
      <c r="A29" s="69" t="s">
        <v>420</v>
      </c>
      <c r="B29" s="70" t="s">
        <v>421</v>
      </c>
    </row>
    <row r="31" spans="1:2" ht="25.5" customHeight="1" x14ac:dyDescent="0.25">
      <c r="A31" s="2" t="s">
        <v>422</v>
      </c>
      <c r="B31" s="2"/>
    </row>
    <row r="32" spans="1:2" ht="25.5" customHeight="1" x14ac:dyDescent="0.25">
      <c r="A32" s="78" t="s">
        <v>423</v>
      </c>
      <c r="B32" s="78"/>
    </row>
    <row r="33" spans="1:2" ht="25.5" customHeight="1" x14ac:dyDescent="0.25">
      <c r="A33" s="78" t="s">
        <v>424</v>
      </c>
      <c r="B33" s="78"/>
    </row>
    <row r="34" spans="1:2" ht="25.5" customHeight="1" x14ac:dyDescent="0.25">
      <c r="A34" s="78" t="s">
        <v>425</v>
      </c>
      <c r="B34" s="78"/>
    </row>
    <row r="35" spans="1:2" ht="25.5" customHeight="1" x14ac:dyDescent="0.25">
      <c r="A35" s="78" t="s">
        <v>426</v>
      </c>
      <c r="B35" s="78"/>
    </row>
    <row r="36" spans="1:2" ht="25.5" customHeight="1" x14ac:dyDescent="0.25">
      <c r="A36" s="78" t="s">
        <v>427</v>
      </c>
      <c r="B36" s="78"/>
    </row>
    <row r="37" spans="1:2" ht="25.5" customHeight="1" x14ac:dyDescent="0.25">
      <c r="A37" s="78" t="s">
        <v>428</v>
      </c>
      <c r="B37" s="78"/>
    </row>
    <row r="38" spans="1:2" ht="25.5" customHeight="1" x14ac:dyDescent="0.25">
      <c r="A38" s="78" t="s">
        <v>429</v>
      </c>
      <c r="B38" s="78"/>
    </row>
    <row r="39" spans="1:2" ht="25.5" customHeight="1" x14ac:dyDescent="0.25">
      <c r="A39" s="78" t="s">
        <v>430</v>
      </c>
      <c r="B39" s="78"/>
    </row>
    <row r="41" spans="1:2" ht="25.5" customHeight="1" x14ac:dyDescent="0.25">
      <c r="A41" s="8" t="s">
        <v>431</v>
      </c>
      <c r="B41" s="8"/>
    </row>
    <row r="42" spans="1:2" ht="33.75" customHeight="1" x14ac:dyDescent="0.25">
      <c r="A42" s="38" t="s">
        <v>432</v>
      </c>
      <c r="B42" s="99" t="s">
        <v>530</v>
      </c>
    </row>
    <row r="43" spans="1:2" ht="33.75" customHeight="1" x14ac:dyDescent="0.25">
      <c r="A43" s="38" t="s">
        <v>433</v>
      </c>
      <c r="B43" s="99" t="s">
        <v>531</v>
      </c>
    </row>
    <row r="44" spans="1:2" ht="33.75" customHeight="1" x14ac:dyDescent="0.25">
      <c r="A44" s="38" t="s">
        <v>434</v>
      </c>
      <c r="B44" s="99" t="s">
        <v>532</v>
      </c>
    </row>
    <row r="45" spans="1:2" ht="33.75" customHeight="1" x14ac:dyDescent="0.25">
      <c r="A45" s="38" t="s">
        <v>435</v>
      </c>
      <c r="B45" s="99" t="s">
        <v>533</v>
      </c>
    </row>
    <row r="46" spans="1:2" ht="33.75" customHeight="1" x14ac:dyDescent="0.25">
      <c r="A46" s="38" t="s">
        <v>436</v>
      </c>
      <c r="B46" s="99" t="s">
        <v>534</v>
      </c>
    </row>
  </sheetData>
  <mergeCells count="16">
    <mergeCell ref="A41:B41"/>
    <mergeCell ref="A35:B35"/>
    <mergeCell ref="A36:B36"/>
    <mergeCell ref="A37:B37"/>
    <mergeCell ref="A38:B38"/>
    <mergeCell ref="A39:B39"/>
    <mergeCell ref="A13:B13"/>
    <mergeCell ref="A31:B31"/>
    <mergeCell ref="A32:B32"/>
    <mergeCell ref="A33:B33"/>
    <mergeCell ref="A34:B34"/>
    <mergeCell ref="A1:B1"/>
    <mergeCell ref="A2:B2"/>
    <mergeCell ref="A4:B4"/>
    <mergeCell ref="A5:B5"/>
    <mergeCell ref="A7:B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9CD7-49F0-4FC4-8D9D-2A14ED19B389}">
  <dimension ref="A1:H8"/>
  <sheetViews>
    <sheetView showGridLines="0" topLeftCell="C1" workbookViewId="0">
      <selection activeCell="O9" sqref="O9"/>
    </sheetView>
  </sheetViews>
  <sheetFormatPr defaultRowHeight="15" x14ac:dyDescent="0.25"/>
  <sheetData>
    <row r="1" spans="1:8" ht="21" x14ac:dyDescent="0.35">
      <c r="A1" s="90" t="s">
        <v>523</v>
      </c>
      <c r="B1" s="91"/>
      <c r="C1" s="91"/>
      <c r="D1" s="91"/>
      <c r="E1" s="91"/>
    </row>
    <row r="3" spans="1:8" x14ac:dyDescent="0.25">
      <c r="A3" s="93">
        <f>AVERAGEIF(Employee_Training_Data!G8:G127,"&gt;0")</f>
        <v>99.324797016453488</v>
      </c>
      <c r="B3" s="93"/>
      <c r="D3" s="98">
        <f>COUNTIF(Employee_Training_Data!H8:H127,"On Track")</f>
        <v>53</v>
      </c>
      <c r="E3" s="98"/>
      <c r="G3" s="96">
        <f>COUNTIF(Employee_Training_Data!H8:H126,"Below Target")</f>
        <v>5</v>
      </c>
      <c r="H3" s="96"/>
    </row>
    <row r="4" spans="1:8" x14ac:dyDescent="0.25">
      <c r="A4" s="93"/>
      <c r="B4" s="93"/>
      <c r="D4" s="98"/>
      <c r="E4" s="98"/>
      <c r="G4" s="96"/>
      <c r="H4" s="96"/>
    </row>
    <row r="5" spans="1:8" x14ac:dyDescent="0.25">
      <c r="A5" t="s">
        <v>524</v>
      </c>
      <c r="D5" t="s">
        <v>265</v>
      </c>
      <c r="G5" t="s">
        <v>276</v>
      </c>
    </row>
    <row r="7" spans="1:8" x14ac:dyDescent="0.25">
      <c r="E7" s="95"/>
    </row>
    <row r="8" spans="1:8" ht="28.5" x14ac:dyDescent="0.45">
      <c r="E8" s="97"/>
    </row>
  </sheetData>
  <mergeCells count="3">
    <mergeCell ref="A3:B4"/>
    <mergeCell ref="D3:E4"/>
    <mergeCell ref="G3: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2"/>
  <sheetViews>
    <sheetView showGridLines="0" topLeftCell="A48" zoomScaleNormal="100" workbookViewId="0">
      <selection sqref="A1:B1"/>
    </sheetView>
  </sheetViews>
  <sheetFormatPr defaultColWidth="8.7109375" defaultRowHeight="15" x14ac:dyDescent="0.25"/>
  <cols>
    <col min="1" max="1" width="32" customWidth="1"/>
    <col min="2" max="2" width="22" customWidth="1"/>
    <col min="3" max="3" width="18" customWidth="1"/>
  </cols>
  <sheetData>
    <row r="1" spans="1:3" ht="42" customHeight="1" x14ac:dyDescent="0.25">
      <c r="A1" s="14" t="s">
        <v>437</v>
      </c>
      <c r="B1" s="14"/>
    </row>
    <row r="2" spans="1:3" ht="24" customHeight="1" x14ac:dyDescent="0.25">
      <c r="A2" s="13" t="s">
        <v>438</v>
      </c>
      <c r="B2" s="13"/>
    </row>
    <row r="4" spans="1:3" ht="31.5" customHeight="1" x14ac:dyDescent="0.25">
      <c r="A4" s="5" t="s">
        <v>439</v>
      </c>
      <c r="B4" s="5"/>
    </row>
    <row r="6" spans="1:3" ht="25.5" customHeight="1" x14ac:dyDescent="0.25">
      <c r="A6" s="10" t="s">
        <v>440</v>
      </c>
      <c r="B6" s="10"/>
    </row>
    <row r="7" spans="1:3" ht="24" customHeight="1" x14ac:dyDescent="0.25">
      <c r="A7" s="34" t="s">
        <v>441</v>
      </c>
      <c r="B7" s="34" t="s">
        <v>260</v>
      </c>
      <c r="C7" s="34" t="s">
        <v>261</v>
      </c>
    </row>
    <row r="8" spans="1:3" ht="19.5" customHeight="1" x14ac:dyDescent="0.25">
      <c r="A8" s="43" t="s">
        <v>442</v>
      </c>
      <c r="B8" s="52" t="s">
        <v>264</v>
      </c>
      <c r="C8" s="52" t="s">
        <v>265</v>
      </c>
    </row>
    <row r="9" spans="1:3" ht="19.5" customHeight="1" x14ac:dyDescent="0.25">
      <c r="A9" s="46" t="s">
        <v>443</v>
      </c>
      <c r="B9" s="52" t="s">
        <v>268</v>
      </c>
      <c r="C9" s="52" t="s">
        <v>265</v>
      </c>
    </row>
    <row r="10" spans="1:3" ht="19.5" customHeight="1" x14ac:dyDescent="0.25">
      <c r="A10" s="43" t="s">
        <v>444</v>
      </c>
      <c r="B10" s="55" t="s">
        <v>271</v>
      </c>
      <c r="C10" s="55" t="s">
        <v>272</v>
      </c>
    </row>
    <row r="11" spans="1:3" ht="19.5" customHeight="1" x14ac:dyDescent="0.25">
      <c r="A11" s="46" t="s">
        <v>445</v>
      </c>
      <c r="B11" s="57" t="s">
        <v>275</v>
      </c>
      <c r="C11" s="57" t="s">
        <v>276</v>
      </c>
    </row>
    <row r="12" spans="1:3" ht="19.5" customHeight="1" x14ac:dyDescent="0.25">
      <c r="A12" s="43" t="s">
        <v>446</v>
      </c>
      <c r="B12" s="52" t="s">
        <v>279</v>
      </c>
      <c r="C12" s="52" t="s">
        <v>265</v>
      </c>
    </row>
    <row r="13" spans="1:3" ht="19.5" customHeight="1" x14ac:dyDescent="0.25">
      <c r="A13" s="46" t="s">
        <v>447</v>
      </c>
      <c r="B13" s="55" t="s">
        <v>448</v>
      </c>
      <c r="C13" s="55" t="s">
        <v>272</v>
      </c>
    </row>
    <row r="14" spans="1:3" ht="19.5" customHeight="1" x14ac:dyDescent="0.25">
      <c r="A14" s="43" t="s">
        <v>449</v>
      </c>
      <c r="B14" s="55" t="s">
        <v>450</v>
      </c>
      <c r="C14" s="55" t="s">
        <v>272</v>
      </c>
    </row>
    <row r="15" spans="1:3" ht="19.5" customHeight="1" x14ac:dyDescent="0.25">
      <c r="A15" s="46" t="s">
        <v>451</v>
      </c>
      <c r="B15" s="57" t="s">
        <v>282</v>
      </c>
      <c r="C15" s="57" t="s">
        <v>276</v>
      </c>
    </row>
    <row r="16" spans="1:3" ht="19.5" customHeight="1" x14ac:dyDescent="0.25">
      <c r="A16" s="43" t="s">
        <v>452</v>
      </c>
      <c r="B16" s="55" t="s">
        <v>453</v>
      </c>
      <c r="C16" s="55" t="s">
        <v>272</v>
      </c>
    </row>
    <row r="17" spans="1:3" ht="19.5" customHeight="1" x14ac:dyDescent="0.25">
      <c r="A17" s="46" t="s">
        <v>454</v>
      </c>
      <c r="B17" s="57" t="s">
        <v>288</v>
      </c>
      <c r="C17" s="57" t="s">
        <v>276</v>
      </c>
    </row>
    <row r="18" spans="1:3" ht="19.5" customHeight="1" x14ac:dyDescent="0.25">
      <c r="A18" s="43" t="s">
        <v>455</v>
      </c>
      <c r="B18" s="55" t="s">
        <v>291</v>
      </c>
      <c r="C18" s="55" t="s">
        <v>272</v>
      </c>
    </row>
    <row r="19" spans="1:3" ht="19.5" customHeight="1" x14ac:dyDescent="0.25">
      <c r="A19" s="46" t="s">
        <v>456</v>
      </c>
      <c r="B19" s="57" t="s">
        <v>294</v>
      </c>
      <c r="C19" s="57" t="s">
        <v>276</v>
      </c>
    </row>
    <row r="20" spans="1:3" ht="19.5" customHeight="1" x14ac:dyDescent="0.25">
      <c r="A20" s="43" t="s">
        <v>457</v>
      </c>
      <c r="B20" s="55" t="s">
        <v>297</v>
      </c>
      <c r="C20" s="55" t="s">
        <v>272</v>
      </c>
    </row>
    <row r="21" spans="1:3" ht="19.5" customHeight="1" x14ac:dyDescent="0.25">
      <c r="A21" s="46" t="s">
        <v>458</v>
      </c>
      <c r="B21" s="57" t="s">
        <v>300</v>
      </c>
      <c r="C21" s="57" t="s">
        <v>276</v>
      </c>
    </row>
    <row r="22" spans="1:3" ht="19.5" customHeight="1" x14ac:dyDescent="0.25">
      <c r="A22" s="43" t="s">
        <v>459</v>
      </c>
      <c r="B22" s="55" t="s">
        <v>303</v>
      </c>
      <c r="C22" s="55" t="s">
        <v>272</v>
      </c>
    </row>
    <row r="23" spans="1:3" ht="19.5" customHeight="1" x14ac:dyDescent="0.25">
      <c r="A23" s="46" t="s">
        <v>460</v>
      </c>
      <c r="B23" s="55" t="s">
        <v>306</v>
      </c>
      <c r="C23" s="55" t="s">
        <v>272</v>
      </c>
    </row>
    <row r="24" spans="1:3" ht="19.5" customHeight="1" x14ac:dyDescent="0.25">
      <c r="A24" s="43" t="s">
        <v>461</v>
      </c>
      <c r="B24" s="52" t="s">
        <v>309</v>
      </c>
      <c r="C24" s="52" t="s">
        <v>265</v>
      </c>
    </row>
    <row r="25" spans="1:3" ht="25.5" customHeight="1" x14ac:dyDescent="0.25">
      <c r="A25" s="79" t="s">
        <v>462</v>
      </c>
      <c r="B25" s="79"/>
      <c r="C25" s="55" t="s">
        <v>272</v>
      </c>
    </row>
    <row r="26" spans="1:3" ht="21.75" customHeight="1" x14ac:dyDescent="0.25">
      <c r="A26" s="15" t="s">
        <v>463</v>
      </c>
      <c r="B26" s="80" t="s">
        <v>464</v>
      </c>
      <c r="C26" s="80"/>
    </row>
    <row r="27" spans="1:3" ht="21.75" customHeight="1" x14ac:dyDescent="0.25">
      <c r="A27" s="15" t="s">
        <v>465</v>
      </c>
      <c r="B27" s="81" t="s">
        <v>466</v>
      </c>
      <c r="C27" s="81"/>
    </row>
    <row r="28" spans="1:3" ht="21.75" customHeight="1" x14ac:dyDescent="0.25">
      <c r="A28" s="15" t="s">
        <v>467</v>
      </c>
      <c r="B28" s="80" t="s">
        <v>468</v>
      </c>
      <c r="C28" s="80"/>
    </row>
    <row r="29" spans="1:3" ht="21.75" customHeight="1" x14ac:dyDescent="0.25">
      <c r="A29" s="15" t="s">
        <v>469</v>
      </c>
      <c r="B29" s="81" t="s">
        <v>470</v>
      </c>
      <c r="C29" s="81"/>
    </row>
    <row r="30" spans="1:3" ht="21.75" customHeight="1" x14ac:dyDescent="0.25">
      <c r="A30" s="15" t="s">
        <v>471</v>
      </c>
      <c r="B30" s="80" t="s">
        <v>472</v>
      </c>
      <c r="C30" s="80"/>
    </row>
    <row r="31" spans="1:3" ht="21.75" customHeight="1" x14ac:dyDescent="0.25">
      <c r="A31" s="15" t="s">
        <v>473</v>
      </c>
      <c r="B31" s="81" t="s">
        <v>474</v>
      </c>
      <c r="C31" s="81"/>
    </row>
    <row r="32" spans="1:3" ht="21.75" customHeight="1" x14ac:dyDescent="0.25">
      <c r="A32" s="15" t="s">
        <v>475</v>
      </c>
      <c r="B32" s="82" t="s">
        <v>476</v>
      </c>
      <c r="C32" s="82"/>
    </row>
    <row r="33" spans="1:3" ht="21.75" customHeight="1" x14ac:dyDescent="0.25">
      <c r="A33" s="15" t="s">
        <v>477</v>
      </c>
      <c r="B33" s="83" t="s">
        <v>478</v>
      </c>
      <c r="C33" s="83"/>
    </row>
    <row r="34" spans="1:3" ht="21.75" customHeight="1" x14ac:dyDescent="0.25">
      <c r="A34" s="15" t="s">
        <v>479</v>
      </c>
      <c r="B34" s="80" t="s">
        <v>480</v>
      </c>
      <c r="C34" s="80"/>
    </row>
    <row r="35" spans="1:3" ht="21.75" customHeight="1" x14ac:dyDescent="0.25">
      <c r="A35" s="15" t="s">
        <v>481</v>
      </c>
      <c r="B35" s="81" t="s">
        <v>482</v>
      </c>
      <c r="C35" s="81"/>
    </row>
    <row r="36" spans="1:3" ht="21.75" customHeight="1" x14ac:dyDescent="0.25">
      <c r="A36" s="15" t="s">
        <v>483</v>
      </c>
      <c r="B36" s="80" t="s">
        <v>484</v>
      </c>
      <c r="C36" s="80"/>
    </row>
    <row r="37" spans="1:3" ht="21.75" customHeight="1" x14ac:dyDescent="0.25">
      <c r="A37" s="15" t="s">
        <v>485</v>
      </c>
      <c r="B37" s="84" t="s">
        <v>486</v>
      </c>
      <c r="C37" s="84"/>
    </row>
    <row r="38" spans="1:3" ht="21.75" customHeight="1" x14ac:dyDescent="0.25">
      <c r="A38" s="15" t="s">
        <v>487</v>
      </c>
      <c r="B38" s="82" t="s">
        <v>488</v>
      </c>
      <c r="C38" s="82"/>
    </row>
    <row r="39" spans="1:3" ht="21.75" customHeight="1" x14ac:dyDescent="0.25">
      <c r="A39" s="15" t="s">
        <v>489</v>
      </c>
      <c r="B39" s="81" t="s">
        <v>484</v>
      </c>
      <c r="C39" s="81"/>
    </row>
    <row r="40" spans="1:3" ht="21.75" customHeight="1" x14ac:dyDescent="0.25">
      <c r="A40" s="15" t="s">
        <v>490</v>
      </c>
      <c r="B40" s="80" t="s">
        <v>491</v>
      </c>
      <c r="C40" s="80"/>
    </row>
    <row r="41" spans="1:3" ht="21.75" customHeight="1" x14ac:dyDescent="0.25">
      <c r="A41" s="15" t="s">
        <v>492</v>
      </c>
      <c r="B41" s="81" t="s">
        <v>493</v>
      </c>
      <c r="C41" s="81"/>
    </row>
    <row r="42" spans="1:3" ht="21.75" customHeight="1" x14ac:dyDescent="0.25">
      <c r="A42" s="15" t="s">
        <v>494</v>
      </c>
      <c r="B42" s="80" t="s">
        <v>495</v>
      </c>
      <c r="C42" s="80"/>
    </row>
    <row r="43" spans="1:3" ht="21.75" customHeight="1" x14ac:dyDescent="0.25">
      <c r="A43" s="15" t="s">
        <v>496</v>
      </c>
      <c r="B43" s="81" t="s">
        <v>497</v>
      </c>
      <c r="C43" s="81"/>
    </row>
    <row r="44" spans="1:3" ht="21.75" customHeight="1" x14ac:dyDescent="0.25">
      <c r="A44" s="15" t="s">
        <v>498</v>
      </c>
      <c r="B44" s="80" t="s">
        <v>499</v>
      </c>
      <c r="C44" s="80"/>
    </row>
    <row r="45" spans="1:3" ht="21.75" customHeight="1" x14ac:dyDescent="0.25">
      <c r="A45" s="15" t="s">
        <v>500</v>
      </c>
      <c r="B45" s="83" t="s">
        <v>501</v>
      </c>
      <c r="C45" s="83"/>
    </row>
    <row r="47" spans="1:3" ht="25.5" customHeight="1" x14ac:dyDescent="0.25">
      <c r="A47" s="8" t="s">
        <v>502</v>
      </c>
      <c r="B47" s="8"/>
    </row>
    <row r="48" spans="1:3" ht="39.75" customHeight="1" x14ac:dyDescent="0.25">
      <c r="A48" s="71" t="s">
        <v>503</v>
      </c>
      <c r="B48" s="85" t="s">
        <v>504</v>
      </c>
      <c r="C48" s="85"/>
    </row>
    <row r="49" spans="1:3" ht="39.75" customHeight="1" x14ac:dyDescent="0.25">
      <c r="A49" s="71" t="s">
        <v>505</v>
      </c>
      <c r="B49" s="86" t="s">
        <v>506</v>
      </c>
      <c r="C49" s="86"/>
    </row>
    <row r="50" spans="1:3" ht="39.75" customHeight="1" x14ac:dyDescent="0.25">
      <c r="A50" s="71" t="s">
        <v>507</v>
      </c>
      <c r="B50" s="85" t="s">
        <v>508</v>
      </c>
      <c r="C50" s="85"/>
    </row>
    <row r="51" spans="1:3" ht="39.75" customHeight="1" x14ac:dyDescent="0.25">
      <c r="A51" s="71" t="s">
        <v>509</v>
      </c>
      <c r="B51" s="86" t="s">
        <v>510</v>
      </c>
      <c r="C51" s="86"/>
    </row>
    <row r="52" spans="1:3" ht="39.75" customHeight="1" x14ac:dyDescent="0.25">
      <c r="A52" s="71" t="s">
        <v>511</v>
      </c>
      <c r="B52" s="85" t="s">
        <v>512</v>
      </c>
      <c r="C52" s="85"/>
    </row>
  </sheetData>
  <mergeCells count="31">
    <mergeCell ref="B52:C52"/>
    <mergeCell ref="A47:B47"/>
    <mergeCell ref="B48:C48"/>
    <mergeCell ref="B49:C49"/>
    <mergeCell ref="B50:C50"/>
    <mergeCell ref="B51:C51"/>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A1:B1"/>
    <mergeCell ref="A2:B2"/>
    <mergeCell ref="A4:B4"/>
    <mergeCell ref="A6:B6"/>
    <mergeCell ref="A25:B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PT_Training</vt:lpstr>
      <vt:lpstr>PT_Monthly</vt:lpstr>
      <vt:lpstr>Employee_Training_Data</vt:lpstr>
      <vt:lpstr>Ex1_KPI</vt:lpstr>
      <vt:lpstr>Ex2_Slicers</vt:lpstr>
      <vt:lpstr>Ex3_Dashboard</vt:lpstr>
      <vt:lpstr>Training_Dashboard</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Rithiha U</cp:lastModifiedBy>
  <cp:revision>0</cp:revision>
  <dcterms:created xsi:type="dcterms:W3CDTF">2026-07-28T07:30:12Z</dcterms:created>
  <dcterms:modified xsi:type="dcterms:W3CDTF">2026-08-22T14:26:20Z</dcterms:modified>
  <dc:language>en-US</dc:language>
</cp:coreProperties>
</file>