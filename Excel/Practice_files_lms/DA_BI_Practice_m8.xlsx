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actice_files_lms\"/>
    </mc:Choice>
  </mc:AlternateContent>
  <xr:revisionPtr revIDLastSave="0" documentId="13_ncr:1_{14D6E000-4EF2-46A2-8A4F-210AF7451E58}" xr6:coauthVersionLast="47" xr6:coauthVersionMax="47" xr10:uidLastSave="{00000000-0000-0000-0000-000000000000}"/>
  <bookViews>
    <workbookView xWindow="-120" yWindow="-120" windowWidth="20730" windowHeight="11040" activeTab="4" xr2:uid="{00000000-000D-0000-FFFF-FFFF00000000}"/>
  </bookViews>
  <sheets>
    <sheet name="Overview" sheetId="1" r:id="rId1"/>
    <sheet name="WhatIf_GoalSeek" sheetId="2" r:id="rId2"/>
    <sheet name="DataTable" sheetId="3" r:id="rId3"/>
    <sheet name="Scenario Summary" sheetId="6" r:id="rId4"/>
    <sheet name="ScenarioMgr" sheetId="4" r:id="rId5"/>
  </sheets>
  <definedNames>
    <definedName name="Costs">ScenarioMgr!$B$7</definedName>
    <definedName name="Revenue">ScenarioMgr!$B$6</definedName>
    <definedName name="TaxRate">ScenarioMgr!$B$8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4" l="1"/>
  <c r="B41" i="3"/>
  <c r="F20" i="2"/>
  <c r="B14" i="4"/>
  <c r="B13" i="4"/>
  <c r="B11" i="4"/>
  <c r="F35" i="3"/>
  <c r="F5" i="3"/>
  <c r="D11" i="3" s="1"/>
  <c r="F30" i="2"/>
  <c r="F19" i="2"/>
  <c r="F18" i="2"/>
  <c r="F21" i="2" s="1"/>
  <c r="F6" i="2"/>
  <c r="G23" i="3" l="1"/>
</calcChain>
</file>

<file path=xl/sharedStrings.xml><?xml version="1.0" encoding="utf-8"?>
<sst xmlns="http://schemas.openxmlformats.org/spreadsheetml/2006/main" count="220" uniqueCount="191">
  <si>
    <t>DA_BI_Practice.xlsx  |  Data Analysis &amp; Business Intelligence</t>
  </si>
  <si>
    <t>Anudip Foundation — What-If Analysis: Goal Seek | Data Tables | Scenario Manager</t>
  </si>
  <si>
    <t>COLOUR LEGEND</t>
  </si>
  <si>
    <t>Green cell</t>
  </si>
  <si>
    <t>Input cell — your model assumptions (change these)</t>
  </si>
  <si>
    <t>Blue cell</t>
  </si>
  <si>
    <t>Output / Formula cell — calculated result (do not edit)</t>
  </si>
  <si>
    <t>Yellow cell</t>
  </si>
  <si>
    <t>Task instruction — read and follow</t>
  </si>
  <si>
    <t>Teal cell</t>
  </si>
  <si>
    <t>Exercise answer area — type your formula here</t>
  </si>
  <si>
    <t>Red-tinted</t>
  </si>
  <si>
    <t>Caution / warning — pay special attention</t>
  </si>
  <si>
    <t>SHEET MAP</t>
  </si>
  <si>
    <t>Sheet Name</t>
  </si>
  <si>
    <t>Module</t>
  </si>
  <si>
    <t>Contents</t>
  </si>
  <si>
    <t>WhatIf_GoalSeek</t>
  </si>
  <si>
    <t>Module 1 — Goal Seek</t>
  </si>
  <si>
    <t>Loan EMI calculator + Break-even model + Attendance model</t>
  </si>
  <si>
    <t>DataTable</t>
  </si>
  <si>
    <t>Module 2 — Data Tables</t>
  </si>
  <si>
    <t>One-Variable (EMI table) + Two-Variable (Profit grid)</t>
  </si>
  <si>
    <t>ScenarioMgr</t>
  </si>
  <si>
    <t>Module 3 — Scenario Manager</t>
  </si>
  <si>
    <t>Business P&amp;L model for Pessimistic / Realistic / Optimistic scenarios</t>
  </si>
  <si>
    <t>Module 1 — Goal Seek  |  What-If Analysis</t>
  </si>
  <si>
    <t>Use Data tab → What-If Analysis → Goal Seek to complete all exercises below.</t>
  </si>
  <si>
    <t>MODEL 1: LOAN EMI CALCULATOR  (Goal Seek Demo &amp; Exercise)</t>
  </si>
  <si>
    <t>INPUT CELLS (Green) — Trainer/Learner adjusts these</t>
  </si>
  <si>
    <t>OUTPUT CELL (Blue) — Calculated by formula</t>
  </si>
  <si>
    <t>Loan Amount (₹)</t>
  </si>
  <si>
    <t>Monthly EMI (₹)</t>
  </si>
  <si>
    <t>Annual Interest Rate</t>
  </si>
  <si>
    <t>PMT formula: =PMT(Rate/12, Months, -LoanAmt)</t>
  </si>
  <si>
    <t>Tenure (Months)</t>
  </si>
  <si>
    <t>Result shown as positive EMI amount</t>
  </si>
  <si>
    <t>GOAL SEEK EXERCISES — MODEL 1</t>
  </si>
  <si>
    <t>Ex 1 — DEMO:</t>
  </si>
  <si>
    <t>Trainer Demo: EMI budget = ₹12,000. Find max Loan Amount at 10%, 60 months.  →  Set B6:F6 = 12000, By Changing B6</t>
  </si>
  <si>
    <t>Ex 1a — Task:</t>
  </si>
  <si>
    <t>Ex 1b — Task:</t>
  </si>
  <si>
    <t>Ex 1c — Task:</t>
  </si>
  <si>
    <t>MODEL 2: BREAK-EVEN / PROFIT CALCULATOR</t>
  </si>
  <si>
    <t>INPUT CELLS</t>
  </si>
  <si>
    <t>OUTPUT CELLS</t>
  </si>
  <si>
    <t>Unit Cost (₹)</t>
  </si>
  <si>
    <t>Total Revenue (₹)</t>
  </si>
  <si>
    <t>Units Sold</t>
  </si>
  <si>
    <t>Total Cost (₹)</t>
  </si>
  <si>
    <t>Selling Price (₹)</t>
  </si>
  <si>
    <t>Net Profit (₹)</t>
  </si>
  <si>
    <t>Profit Margin</t>
  </si>
  <si>
    <t>GOAL SEEK EXERCISES — MODEL 2</t>
  </si>
  <si>
    <t>Ex 2a — Break-Even:</t>
  </si>
  <si>
    <t>Ex 2b — Target:</t>
  </si>
  <si>
    <t>Ex 2c — Units:</t>
  </si>
  <si>
    <t>Ex 2d — Verify:</t>
  </si>
  <si>
    <t>MODEL 3: ATTENDANCE CALCULATOR</t>
  </si>
  <si>
    <t>Days Present</t>
  </si>
  <si>
    <t>Attendance %</t>
  </si>
  <si>
    <t>Working Days</t>
  </si>
  <si>
    <t>GOAL SEEK EXERCISES — MODEL 3</t>
  </si>
  <si>
    <t>Ex 3a — 75% Target:</t>
  </si>
  <si>
    <t>Ex 3b — 80% Target:</t>
  </si>
  <si>
    <t>Ex 3c — Discuss:</t>
  </si>
  <si>
    <t>CAUTION: Goal Seek 'Set Cell' MUST be a formula cell (blue). 'By Changing Cell' MUST be a plain number cell (green). Never swap these.</t>
  </si>
  <si>
    <t>Module 2 — Data Tables  |  One-Variable &amp; Two-Variable</t>
  </si>
  <si>
    <t>One-Variable: EMI at different Interest Rates &amp; Loan Amounts  |  Two-Variable: Profit Grid (Price × Units)</t>
  </si>
  <si>
    <t>REFERENCE MODEL — Loan Calculator (same as Goal Seek sheet)</t>
  </si>
  <si>
    <t>This EMI cell (F5) is used in both Data Tables below as the linked formula.</t>
  </si>
  <si>
    <t>ONE-VARIABLE DATA TABLE 1: EMI at Different Interest Rates</t>
  </si>
  <si>
    <t>HOW TO BUILD: Select C10:D18 → Data → What-If Analysis → Data Table → Column input cell = B6 (Interest Rate) → OK</t>
  </si>
  <si>
    <t>Interest Rate</t>
  </si>
  <si>
    <t>After running Data Table: column D fills with EMI for each rate. Results show {=TABLE(,B6)} array formula — do NOT edit individual cells.</t>
  </si>
  <si>
    <t>ONE-VARIABLE DATA TABLE 2: EMI at Different Loan Amounts</t>
  </si>
  <si>
    <t>HOW TO BUILD: Select F21:G30 → Data → What-If Analysis → Data Table → Column input cell = B5 (Loan Amount) → OK</t>
  </si>
  <si>
    <t>REFERENCE MODEL — Profit Calculator</t>
  </si>
  <si>
    <t>TWO-VARIABLE DATA TABLE: Profit Grid (Selling Price × Units Sold)</t>
  </si>
  <si>
    <t>HOW TO BUILD: Select B41:G47 → Data → What-If Analysis → Data Table → Row input = B37 (Price), Column input = B36 (Units) → OK</t>
  </si>
  <si>
    <t>After running: Green cells fill with Profit at every Price × Units combination. Negative = loss. Find which combinations are profitable.</t>
  </si>
  <si>
    <t>EXERCISE TASKS</t>
  </si>
  <si>
    <t>DT Task 1:</t>
  </si>
  <si>
    <t>DT Task 2:</t>
  </si>
  <si>
    <t>DT Task 3:</t>
  </si>
  <si>
    <t>DT Task 4:</t>
  </si>
  <si>
    <t>BONUS:</t>
  </si>
  <si>
    <t>CAUTION: Data Table results are ARRAY formulas {=TABLE(...)}. You CANNOT edit individual result cells. To remove: select all green cells → Delete.</t>
  </si>
  <si>
    <t>Module 3 — Scenario Manager  |  Business P&amp;L Planning</t>
  </si>
  <si>
    <t>Data tab → What-If Analysis → Scenario Manager | Create: Pessimistic, Realistic, Optimistic</t>
  </si>
  <si>
    <t>BUSINESS P&amp;L MODEL  (Changing Cells: B5, B6, B7  |  Result Cells: B8, B9)</t>
  </si>
  <si>
    <t>INPUT ASSUMPTIONS (Change these per scenario)</t>
  </si>
  <si>
    <t>Projected Revenue (₹)</t>
  </si>
  <si>
    <t>Operating Costs (₹)</t>
  </si>
  <si>
    <t>Tax Rate (%)</t>
  </si>
  <si>
    <t>OUTPUT RESULTS (Formula cells — do not edit)</t>
  </si>
  <si>
    <t>Gross Profit (₹)</t>
  </si>
  <si>
    <t>Profit Margin (%)</t>
  </si>
  <si>
    <t>Cost Ratio (%)</t>
  </si>
  <si>
    <t>SCENARIO VALUES — Use these when adding scenarios in Scenario Manager</t>
  </si>
  <si>
    <t>Changing Cell</t>
  </si>
  <si>
    <t>Pessimistic</t>
  </si>
  <si>
    <t>Realistic</t>
  </si>
  <si>
    <t>Optimistic</t>
  </si>
  <si>
    <t>High Growth</t>
  </si>
  <si>
    <t>B6</t>
  </si>
  <si>
    <t>B7</t>
  </si>
  <si>
    <t>B8</t>
  </si>
  <si>
    <t>EXPECTED RESULTS — Check your Scenario Summary Report against these</t>
  </si>
  <si>
    <t>Output Cell</t>
  </si>
  <si>
    <t>Metric</t>
  </si>
  <si>
    <t>B12</t>
  </si>
  <si>
    <t>B13</t>
  </si>
  <si>
    <t>2.92%</t>
  </si>
  <si>
    <t>24.00%</t>
  </si>
  <si>
    <t>37.50%</t>
  </si>
  <si>
    <t>46.80%</t>
  </si>
  <si>
    <t>B14</t>
  </si>
  <si>
    <t>93.75%</t>
  </si>
  <si>
    <t>66.67%</t>
  </si>
  <si>
    <t>50.00%</t>
  </si>
  <si>
    <t>40.00%</t>
  </si>
  <si>
    <t>STEP-BY-STEP: How to Build Scenarios</t>
  </si>
  <si>
    <t>Step 1</t>
  </si>
  <si>
    <t>Name input cells (optional but helpful): Click B6 → Name Box → type 'Revenue' → Enter. Repeat for B7='Costs', B8='TaxRate'.</t>
  </si>
  <si>
    <t>Step 2</t>
  </si>
  <si>
    <t>Go to Data tab → What-If Analysis → Scenario Manager. Dialog opens (empty at first).</t>
  </si>
  <si>
    <t>Step 3</t>
  </si>
  <si>
    <t>Click 'Add'. Scenario Name = 'Pessimistic'. Changing Cells = B6, B7, B8 (Ctrl+click each). Click OK.</t>
  </si>
  <si>
    <t>Step 4</t>
  </si>
  <si>
    <t>Enter Pessimistic values: B6=800000, B7=750000, B8=0.30. Click 'Add' (not OK) to continue to next scenario.</t>
  </si>
  <si>
    <t>Step 5</t>
  </si>
  <si>
    <t>Scenario Name = 'Realistic'. Click OK. Enter: B6=1200000, B7=800000, B8=0.28. Click Add.</t>
  </si>
  <si>
    <t>Step 6</t>
  </si>
  <si>
    <t>Scenario Name = 'Optimistic'. Click OK. Enter: B6=1800000, B7=900000, B8=0.25. Click OK.</t>
  </si>
  <si>
    <t>Step 7</t>
  </si>
  <si>
    <t>To show a scenario: select it in the list → click 'Show'. Watch B6, B7, B8, and all output cells update.</t>
  </si>
  <si>
    <t>Step 8</t>
  </si>
  <si>
    <t>To generate the Summary Report: click 'Summary'. Result Cells: click B12 (hold Ctrl, also click B13). Click OK.</t>
  </si>
  <si>
    <t>Step 9</t>
  </si>
  <si>
    <t>A 'Scenario Summary' sheet is created. Review: all scenarios shown side by side with Net Profit and Margin.</t>
  </si>
  <si>
    <t>SCENARIO MANAGER EXERCISES</t>
  </si>
  <si>
    <t>SM Task 1:</t>
  </si>
  <si>
    <t>Create all 3 scenarios (Pessimistic, Realistic, Optimistic) using values from the reference table above.</t>
  </si>
  <si>
    <t>SM Task 2:</t>
  </si>
  <si>
    <t>SM Task 3:</t>
  </si>
  <si>
    <t>Generate the Scenario Summary Report. Result Cells = B12 and B13. Review the new 'Scenario Summary' sheet.</t>
  </si>
  <si>
    <t>SM Task 4:</t>
  </si>
  <si>
    <t>SM BONUS:</t>
  </si>
  <si>
    <t>Add a 4th scenario 'High Growth' using values from the reference table. Regenerate the Summary Report.</t>
  </si>
  <si>
    <t>SM Discuss:</t>
  </si>
  <si>
    <t>BEST PRACTICE: Create a 'Base' scenario FIRST (current values) before testing Pessimistic/Realistic/Optimistic. This lets you restore original values anytime.</t>
  </si>
  <si>
    <t>CAUTION: Scenario Summary Reports do NOT auto-update. If you add or edit scenarios, regenerate the report: Scenario Manager → Summary → OK.</t>
  </si>
  <si>
    <t>MY SCENARIO NOTES — Fill this in as you work through the exercises</t>
  </si>
  <si>
    <t>Scenario Name</t>
  </si>
  <si>
    <t>Revenue (₹)</t>
  </si>
  <si>
    <t>Costs (₹)</t>
  </si>
  <si>
    <t>Tax Rate</t>
  </si>
  <si>
    <t>Margin (%)</t>
  </si>
  <si>
    <t>High Growth (Bonus)</t>
  </si>
  <si>
    <t>Goal Seek: What loan amount gives EMI = ₹10,000?  (Rate=10%, Tenure=60 mths)  - 4,70,654</t>
  </si>
  <si>
    <t>Goal Seek: What loan amount gives EMI = ₹15,000?  (Rate=10%, Tenure=60 mths) - 705981</t>
  </si>
  <si>
    <t>Goal Seek: At Loan=₹5,00,000 and 60 months, what interest rate gives EMI = ₹9,000?  By Changing B7 - 3.07%</t>
  </si>
  <si>
    <t>Goal Seek: What Selling Price (B20) gives Net Profit (F20) = ₹0?  (Break-even price) -250</t>
  </si>
  <si>
    <t>Goal Seek: What Selling Price gives Net Profit = ₹50,000? -350</t>
  </si>
  <si>
    <t>Goal Seek: At Price=₹300, what Units Sold (B19) achieves Profit = ₹1,00,000? - 2000</t>
  </si>
  <si>
    <t>After Goal Seek: manually verify → (Selling Price − Unit Cost) × Units = Target Profit? - 100000</t>
  </si>
  <si>
    <t>Goal Seek: How many Days Present (B30) gives exactly 75% attendance? 19.5</t>
  </si>
  <si>
    <t>Goal Seek: How many Days Present gives exactly 80% attendance? - 21</t>
  </si>
  <si>
    <t>Can the answer ever be a decimal? What does that tell you about the model? Yes. Goal Seek can return decimal values because it solves the mathematical equation without knowing that Days Present must be a whole number. This shows that the model should ideally restrict Days Present to whole numbers.</t>
  </si>
  <si>
    <t>Build Two-Variable Table (B41:G47). Which Price × Units combo gives highest profit? = ₹63,000</t>
  </si>
  <si>
    <t>Add a 3rd output column to Table 1: link to Profit Margin using the profit model. What happens? The Profit Margin stays unchanged because the interest-rate input does not affect the separate profit model.</t>
  </si>
  <si>
    <t>In the Profit Grid, identify: which cells show a LOSS? At what price does every unit level become profitable? ₹260 is the minimum price in the grid at which every unit level is profitable.</t>
  </si>
  <si>
    <t>Build One-Variable Table 2 (F23:G32). At what Loan Amount does EMI exceed ₹20,000? 10,00,000</t>
  </si>
  <si>
    <t>Build One-Variable Table 1 (C11:D18). What EMI at 8%? At 14%? Which rate gives EMI below ₹10,000? None</t>
  </si>
  <si>
    <t>Revenue</t>
  </si>
  <si>
    <t>Costs</t>
  </si>
  <si>
    <t>TaxRate</t>
  </si>
  <si>
    <t>Created by ELCOT on 22-08-2026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</si>
  <si>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</si>
  <si>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</si>
  <si>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</si>
  <si>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</si>
  <si>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</si>
  <si>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</si>
  <si>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</si>
  <si>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Click 'Show' for each scenario. Record Net Profit (B12) and Margin (B13) for each. Do they match the expected results table? Yes. The Scenario Manager results match the expected results table.</t>
  </si>
  <si>
    <t>$B$12</t>
  </si>
  <si>
    <t>$B$13</t>
  </si>
  <si>
    <t>Edit the Pessimistic scenario: Change Revenue from 8,00,000 to 7,00,000. Show it. What is the new Net Profit? -35000</t>
  </si>
  <si>
    <t>Which scenario would you present to a conservative board? Which to an investor seeking growth potential? Why? High Growth → Net Profit ₹11,70,000; Profit Margin 46.80%; Cost Ratio 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</si>
</sst>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scheme val="minor"/>
    </font>
    <font>
      <b/>
      <sz val="14"/>
      <color rgb="FFFFFFFF"/>
      <name val="Arial"/>
    </font>
    <font>
      <sz val="11"/>
      <name val="Calibri"/>
    </font>
    <font>
      <b/>
      <sz val="10"/>
      <color rgb="FFFFFFFF"/>
      <name val="Arial"/>
    </font>
    <font>
      <b/>
      <sz val="10"/>
      <color rgb="FF1A5276"/>
      <name val="Arial"/>
    </font>
    <font>
      <sz val="11"/>
      <color theme="1"/>
      <name val="Calibri"/>
    </font>
    <font>
      <sz val="10"/>
      <color rgb="FF1A5276"/>
      <name val="Arial"/>
    </font>
    <font>
      <b/>
      <sz val="10"/>
      <color rgb="FF154360"/>
      <name val="Arial"/>
    </font>
    <font>
      <sz val="10"/>
      <color rgb="FF154360"/>
      <name val="Arial"/>
    </font>
    <font>
      <b/>
      <sz val="10"/>
      <color rgb="FF92400E"/>
      <name val="Arial"/>
    </font>
    <font>
      <sz val="10"/>
      <color rgb="FF92400E"/>
      <name val="Arial"/>
    </font>
    <font>
      <b/>
      <sz val="10"/>
      <color rgb="FF15803D"/>
      <name val="Arial"/>
    </font>
    <font>
      <sz val="10"/>
      <color rgb="FF15803D"/>
      <name val="Arial"/>
    </font>
    <font>
      <b/>
      <sz val="10"/>
      <color rgb="FF991B1B"/>
      <name val="Arial"/>
    </font>
    <font>
      <sz val="10"/>
      <color rgb="FF991B1B"/>
      <name val="Arial"/>
    </font>
    <font>
      <sz val="10"/>
      <color rgb="FF000000"/>
      <name val="Arial"/>
    </font>
    <font>
      <b/>
      <sz val="9"/>
      <color rgb="FF1A5276"/>
      <name val="Arial"/>
    </font>
    <font>
      <b/>
      <sz val="9"/>
      <color rgb="FF154360"/>
      <name val="Arial"/>
    </font>
    <font>
      <b/>
      <sz val="10"/>
      <color rgb="FF1E3A5F"/>
      <name val="Arial"/>
    </font>
    <font>
      <b/>
      <sz val="11"/>
      <color rgb="FF1A5276"/>
      <name val="Arial"/>
    </font>
    <font>
      <b/>
      <sz val="12"/>
      <color rgb="FF154360"/>
      <name val="Arial"/>
    </font>
    <font>
      <i/>
      <sz val="9"/>
      <color rgb="FF1E40AF"/>
      <name val="Arial"/>
    </font>
    <font>
      <b/>
      <sz val="9"/>
      <color rgb="FF92400E"/>
      <name val="Arial"/>
    </font>
    <font>
      <sz val="9"/>
      <color rgb="FF15803D"/>
      <name val="Arial"/>
    </font>
    <font>
      <b/>
      <sz val="11"/>
      <color rgb="FF154360"/>
      <name val="Arial"/>
    </font>
    <font>
      <i/>
      <sz val="9"/>
      <color rgb="FF991B1B"/>
      <name val="Arial"/>
    </font>
    <font>
      <i/>
      <sz val="9"/>
      <color rgb="FFB45309"/>
      <name val="Arial"/>
    </font>
    <font>
      <b/>
      <sz val="9"/>
      <color rgb="FFFFD700"/>
      <name val="Arial"/>
    </font>
    <font>
      <b/>
      <sz val="10"/>
      <color rgb="FF000000"/>
      <name val="Arial"/>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9"/>
      <color rgb="FF15803D"/>
      <name val="Arial"/>
      <family val="2"/>
    </font>
    <font>
      <sz val="10"/>
      <color rgb="FF000000"/>
      <name val="Arial"/>
      <family val="2"/>
    </font>
  </fonts>
  <fills count="19">
    <fill>
      <patternFill patternType="none"/>
    </fill>
    <fill>
      <patternFill patternType="gray125"/>
    </fill>
    <fill>
      <patternFill patternType="solid">
        <fgColor rgb="FF1E3A5F"/>
        <bgColor rgb="FF1E3A5F"/>
      </patternFill>
    </fill>
    <fill>
      <patternFill patternType="solid">
        <fgColor rgb="FF1E40AF"/>
        <bgColor rgb="FF1E40AF"/>
      </patternFill>
    </fill>
    <fill>
      <patternFill patternType="solid">
        <fgColor rgb="FFE8F5E9"/>
        <bgColor rgb="FFE8F5E9"/>
      </patternFill>
    </fill>
    <fill>
      <patternFill patternType="solid">
        <fgColor rgb="FFE3F2FD"/>
        <bgColor rgb="FFE3F2FD"/>
      </patternFill>
    </fill>
    <fill>
      <patternFill patternType="solid">
        <fgColor rgb="FFFFF9C4"/>
        <bgColor rgb="FFFFF9C4"/>
      </patternFill>
    </fill>
    <fill>
      <patternFill patternType="solid">
        <fgColor rgb="FFDCFCE7"/>
        <bgColor rgb="FFDCFCE7"/>
      </patternFill>
    </fill>
    <fill>
      <patternFill patternType="solid">
        <fgColor rgb="FFFEE2E2"/>
        <bgColor rgb="FFFEE2E2"/>
      </patternFill>
    </fill>
    <fill>
      <patternFill patternType="solid">
        <fgColor rgb="FFFFFFFF"/>
        <bgColor rgb="FFFFFFFF"/>
      </patternFill>
    </fill>
    <fill>
      <patternFill patternType="solid">
        <fgColor rgb="FFEEF3F9"/>
        <bgColor rgb="FFEEF3F9"/>
      </patternFill>
    </fill>
    <fill>
      <patternFill patternType="solid">
        <fgColor rgb="FFEFF6FF"/>
        <bgColor rgb="FFEFF6FF"/>
      </patternFill>
    </fill>
    <fill>
      <patternFill patternType="solid">
        <fgColor rgb="FF6D28D9"/>
        <bgColor rgb="FF6D28D9"/>
      </patternFill>
    </fill>
    <fill>
      <patternFill patternType="solid">
        <fgColor rgb="FFC2410C"/>
        <bgColor rgb="FFC2410C"/>
      </patternFill>
    </fill>
    <fill>
      <patternFill patternType="solid">
        <fgColor rgb="FF0F766E"/>
        <bgColor rgb="FF0F766E"/>
      </patternFill>
    </fill>
    <fill>
      <patternFill patternType="solid">
        <fgColor rgb="FF15803D"/>
        <bgColor rgb="FF15803D"/>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0">
    <border>
      <left/>
      <right/>
      <top/>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medium">
        <color rgb="FF1E3A5F"/>
      </left>
      <right style="medium">
        <color rgb="FF1E3A5F"/>
      </right>
      <top style="medium">
        <color rgb="FF1E3A5F"/>
      </top>
      <bottom style="medium">
        <color rgb="FF1E3A5F"/>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91">
    <xf numFmtId="0" fontId="0" fillId="0" borderId="0" xfId="0"/>
    <xf numFmtId="0" fontId="4" fillId="4" borderId="4" xfId="0" applyFont="1" applyFill="1" applyBorder="1" applyAlignment="1">
      <alignment horizontal="left" vertical="center" wrapText="1"/>
    </xf>
    <xf numFmtId="0" fontId="5" fillId="4" borderId="4" xfId="0" applyFont="1" applyFill="1" applyBorder="1"/>
    <xf numFmtId="0" fontId="6" fillId="4"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5" fillId="5" borderId="4" xfId="0" applyFont="1" applyFill="1" applyBorder="1"/>
    <xf numFmtId="0" fontId="8" fillId="5" borderId="4" xfId="0" applyFont="1" applyFill="1" applyBorder="1" applyAlignment="1">
      <alignment horizontal="left" vertical="center" wrapText="1"/>
    </xf>
    <xf numFmtId="0" fontId="9" fillId="6" borderId="4" xfId="0" applyFont="1" applyFill="1" applyBorder="1" applyAlignment="1">
      <alignment horizontal="left" vertical="center" wrapText="1"/>
    </xf>
    <xf numFmtId="0" fontId="5" fillId="6" borderId="4" xfId="0" applyFont="1" applyFill="1" applyBorder="1"/>
    <xf numFmtId="0" fontId="10" fillId="6" borderId="4" xfId="0" applyFont="1" applyFill="1" applyBorder="1" applyAlignment="1">
      <alignment horizontal="left" vertical="center" wrapText="1"/>
    </xf>
    <xf numFmtId="0" fontId="11" fillId="7" borderId="4" xfId="0" applyFont="1" applyFill="1" applyBorder="1" applyAlignment="1">
      <alignment horizontal="left" vertical="center" wrapText="1"/>
    </xf>
    <xf numFmtId="0" fontId="5" fillId="7" borderId="4" xfId="0" applyFont="1" applyFill="1" applyBorder="1"/>
    <xf numFmtId="0" fontId="12" fillId="7" borderId="4" xfId="0" applyFont="1" applyFill="1" applyBorder="1" applyAlignment="1">
      <alignment horizontal="left" vertical="center" wrapText="1"/>
    </xf>
    <xf numFmtId="0" fontId="13" fillId="8" borderId="4" xfId="0" applyFont="1" applyFill="1" applyBorder="1" applyAlignment="1">
      <alignment horizontal="left" vertical="center" wrapText="1"/>
    </xf>
    <xf numFmtId="0" fontId="5" fillId="8" borderId="4" xfId="0" applyFont="1" applyFill="1" applyBorder="1"/>
    <xf numFmtId="0" fontId="14" fillId="8"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15" fillId="9" borderId="4" xfId="0" applyFont="1" applyFill="1" applyBorder="1" applyAlignment="1">
      <alignment horizontal="left" vertical="center" wrapText="1"/>
    </xf>
    <xf numFmtId="0" fontId="15" fillId="10" borderId="4" xfId="0" applyFont="1" applyFill="1" applyBorder="1" applyAlignment="1">
      <alignment horizontal="left" vertical="center" wrapText="1"/>
    </xf>
    <xf numFmtId="0" fontId="18" fillId="11" borderId="4" xfId="0" applyFont="1" applyFill="1" applyBorder="1" applyAlignment="1">
      <alignment horizontal="left" vertical="center" wrapText="1"/>
    </xf>
    <xf numFmtId="3" fontId="19" fillId="4" borderId="5" xfId="0" applyNumberFormat="1" applyFont="1" applyFill="1" applyBorder="1" applyAlignment="1">
      <alignment horizontal="center" vertical="center" wrapText="1"/>
    </xf>
    <xf numFmtId="4" fontId="20" fillId="5" borderId="5" xfId="0" applyNumberFormat="1" applyFont="1" applyFill="1" applyBorder="1" applyAlignment="1">
      <alignment horizontal="center" vertical="center" wrapText="1"/>
    </xf>
    <xf numFmtId="10" fontId="19" fillId="4" borderId="5" xfId="0" applyNumberFormat="1" applyFont="1" applyFill="1" applyBorder="1" applyAlignment="1">
      <alignment horizontal="center" vertical="center" wrapText="1"/>
    </xf>
    <xf numFmtId="1" fontId="19" fillId="4" borderId="5" xfId="0" applyNumberFormat="1" applyFont="1" applyFill="1" applyBorder="1" applyAlignment="1">
      <alignment horizontal="center" vertical="center" wrapText="1"/>
    </xf>
    <xf numFmtId="0" fontId="22" fillId="6" borderId="4" xfId="0" applyFont="1" applyFill="1" applyBorder="1" applyAlignment="1">
      <alignment horizontal="left" vertical="center" wrapText="1"/>
    </xf>
    <xf numFmtId="3" fontId="24" fillId="5" borderId="5" xfId="0" applyNumberFormat="1" applyFont="1" applyFill="1" applyBorder="1" applyAlignment="1">
      <alignment horizontal="center" vertical="center" wrapText="1"/>
    </xf>
    <xf numFmtId="10" fontId="24" fillId="5" borderId="5" xfId="0" applyNumberFormat="1" applyFont="1" applyFill="1" applyBorder="1" applyAlignment="1">
      <alignment horizontal="center" vertical="center" wrapText="1"/>
    </xf>
    <xf numFmtId="10" fontId="20" fillId="5" borderId="5" xfId="0" applyNumberFormat="1" applyFont="1" applyFill="1" applyBorder="1" applyAlignment="1">
      <alignment horizontal="center" vertical="center" wrapText="1"/>
    </xf>
    <xf numFmtId="4" fontId="7" fillId="5" borderId="5" xfId="0" applyNumberFormat="1" applyFont="1" applyFill="1" applyBorder="1" applyAlignment="1">
      <alignment horizontal="center" vertical="center" wrapText="1"/>
    </xf>
    <xf numFmtId="10" fontId="4" fillId="4" borderId="4" xfId="0" applyNumberFormat="1" applyFont="1" applyFill="1" applyBorder="1" applyAlignment="1">
      <alignment horizontal="center" vertical="center" wrapText="1"/>
    </xf>
    <xf numFmtId="4" fontId="12" fillId="7" borderId="4" xfId="0" applyNumberFormat="1" applyFont="1" applyFill="1" applyBorder="1" applyAlignment="1">
      <alignment horizontal="center" vertical="center" wrapText="1"/>
    </xf>
    <xf numFmtId="3" fontId="4" fillId="4" borderId="4" xfId="0" applyNumberFormat="1" applyFont="1" applyFill="1" applyBorder="1" applyAlignment="1">
      <alignment horizontal="center" vertical="center" wrapText="1"/>
    </xf>
    <xf numFmtId="3" fontId="20" fillId="5" borderId="5" xfId="0" applyNumberFormat="1" applyFont="1" applyFill="1" applyBorder="1" applyAlignment="1">
      <alignment horizontal="center" vertical="center" wrapText="1"/>
    </xf>
    <xf numFmtId="3" fontId="27" fillId="2" borderId="5" xfId="0" applyNumberFormat="1" applyFont="1" applyFill="1" applyBorder="1" applyAlignment="1">
      <alignment horizontal="center" vertical="center" wrapText="1"/>
    </xf>
    <xf numFmtId="3" fontId="3" fillId="13" borderId="4" xfId="0" applyNumberFormat="1" applyFont="1" applyFill="1" applyBorder="1" applyAlignment="1">
      <alignment horizontal="center" vertical="center" wrapText="1"/>
    </xf>
    <xf numFmtId="3" fontId="3" fillId="12" borderId="4" xfId="0" applyNumberFormat="1" applyFont="1" applyFill="1" applyBorder="1" applyAlignment="1">
      <alignment horizontal="center" vertical="center" wrapText="1"/>
    </xf>
    <xf numFmtId="3" fontId="12" fillId="7" borderId="4" xfId="0" applyNumberFormat="1"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3" fontId="13" fillId="8" borderId="4" xfId="0" applyNumberFormat="1" applyFont="1" applyFill="1" applyBorder="1" applyAlignment="1">
      <alignment horizontal="center" vertical="center" wrapText="1"/>
    </xf>
    <xf numFmtId="3" fontId="28" fillId="10" borderId="4" xfId="0" applyNumberFormat="1" applyFont="1" applyFill="1" applyBorder="1" applyAlignment="1">
      <alignment horizontal="center" vertical="center" wrapText="1"/>
    </xf>
    <xf numFmtId="3" fontId="11" fillId="7" borderId="4" xfId="0" applyNumberFormat="1" applyFont="1" applyFill="1" applyBorder="1" applyAlignment="1">
      <alignment horizontal="center" vertical="center" wrapText="1"/>
    </xf>
    <xf numFmtId="10" fontId="13" fillId="8" borderId="4" xfId="0" applyNumberFormat="1" applyFont="1" applyFill="1" applyBorder="1" applyAlignment="1">
      <alignment horizontal="center" vertical="center" wrapText="1"/>
    </xf>
    <xf numFmtId="10" fontId="28" fillId="10" borderId="4" xfId="0" applyNumberFormat="1" applyFont="1" applyFill="1" applyBorder="1" applyAlignment="1">
      <alignment horizontal="center" vertical="center" wrapText="1"/>
    </xf>
    <xf numFmtId="10" fontId="11" fillId="7" borderId="4" xfId="0" applyNumberFormat="1" applyFont="1" applyFill="1" applyBorder="1" applyAlignment="1">
      <alignment horizontal="center" vertical="center" wrapText="1"/>
    </xf>
    <xf numFmtId="0" fontId="3" fillId="14" borderId="4" xfId="0" applyFont="1" applyFill="1" applyBorder="1" applyAlignment="1">
      <alignment horizontal="center" vertical="center" wrapText="1"/>
    </xf>
    <xf numFmtId="0" fontId="28" fillId="4" borderId="4" xfId="0" applyFont="1" applyFill="1" applyBorder="1" applyAlignment="1">
      <alignment horizontal="center" vertical="center" wrapText="1"/>
    </xf>
    <xf numFmtId="0" fontId="28" fillId="11" borderId="4"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15" fillId="4" borderId="4" xfId="0" applyFont="1" applyFill="1" applyBorder="1" applyAlignment="1">
      <alignment horizontal="center" vertical="center" wrapText="1"/>
    </xf>
    <xf numFmtId="3" fontId="15" fillId="7" borderId="4" xfId="0" applyNumberFormat="1" applyFont="1" applyFill="1" applyBorder="1" applyAlignment="1">
      <alignment horizontal="center" vertical="center" wrapText="1"/>
    </xf>
    <xf numFmtId="10" fontId="15" fillId="7" borderId="4" xfId="0" applyNumberFormat="1" applyFont="1" applyFill="1" applyBorder="1" applyAlignment="1">
      <alignment horizontal="center" vertical="center" wrapText="1"/>
    </xf>
    <xf numFmtId="0" fontId="23" fillId="7" borderId="1" xfId="0" applyFont="1" applyFill="1" applyBorder="1" applyAlignment="1">
      <alignment horizontal="left" vertical="center" wrapText="1"/>
    </xf>
    <xf numFmtId="0" fontId="2" fillId="0" borderId="2" xfId="0" applyFont="1" applyBorder="1"/>
    <xf numFmtId="0" fontId="2" fillId="0" borderId="3" xfId="0" applyFont="1" applyBorder="1"/>
    <xf numFmtId="0" fontId="25" fillId="8"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21" fillId="11"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6" fillId="6"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5" fillId="10" borderId="1"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0" fillId="0" borderId="0" xfId="0" applyFill="1" applyBorder="1" applyAlignment="1"/>
    <xf numFmtId="3" fontId="0" fillId="0" borderId="0" xfId="0" applyNumberFormat="1" applyFill="1" applyBorder="1" applyAlignment="1"/>
    <xf numFmtId="10" fontId="0" fillId="0" borderId="0" xfId="0" applyNumberFormat="1" applyFill="1" applyBorder="1" applyAlignment="1"/>
    <xf numFmtId="0" fontId="29" fillId="16" borderId="8" xfId="0" applyFont="1" applyFill="1" applyBorder="1" applyAlignment="1">
      <alignment horizontal="left"/>
    </xf>
    <xf numFmtId="0" fontId="29" fillId="16" borderId="6" xfId="0" applyFont="1" applyFill="1" applyBorder="1" applyAlignment="1">
      <alignment horizontal="left"/>
    </xf>
    <xf numFmtId="0" fontId="0" fillId="0" borderId="9" xfId="0" applyFill="1" applyBorder="1" applyAlignment="1"/>
    <xf numFmtId="0" fontId="30" fillId="17" borderId="0" xfId="0" applyFont="1" applyFill="1" applyBorder="1" applyAlignment="1">
      <alignment horizontal="left"/>
    </xf>
    <xf numFmtId="0" fontId="31" fillId="17" borderId="9" xfId="0" applyFont="1" applyFill="1" applyBorder="1" applyAlignment="1">
      <alignment horizontal="left"/>
    </xf>
    <xf numFmtId="0" fontId="30" fillId="17" borderId="7" xfId="0" applyFont="1" applyFill="1" applyBorder="1" applyAlignment="1">
      <alignment horizontal="left"/>
    </xf>
    <xf numFmtId="0" fontId="32" fillId="16" borderId="6" xfId="0" applyFont="1" applyFill="1" applyBorder="1" applyAlignment="1">
      <alignment horizontal="right"/>
    </xf>
    <xf numFmtId="0" fontId="32" fillId="16" borderId="8" xfId="0" applyFont="1" applyFill="1" applyBorder="1" applyAlignment="1">
      <alignment horizontal="right"/>
    </xf>
    <xf numFmtId="3" fontId="0" fillId="18" borderId="0" xfId="0" applyNumberFormat="1" applyFill="1" applyBorder="1" applyAlignment="1"/>
    <xf numFmtId="10" fontId="0" fillId="18" borderId="0" xfId="0" applyNumberFormat="1" applyFill="1" applyBorder="1" applyAlignment="1"/>
    <xf numFmtId="0" fontId="33" fillId="0" borderId="0" xfId="0" applyFont="1" applyFill="1" applyBorder="1" applyAlignment="1">
      <alignment vertical="top" wrapText="1"/>
    </xf>
    <xf numFmtId="0" fontId="34" fillId="7" borderId="1" xfId="0" applyFont="1" applyFill="1" applyBorder="1" applyAlignment="1">
      <alignment horizontal="left" vertical="center" wrapText="1"/>
    </xf>
    <xf numFmtId="10" fontId="0" fillId="0" borderId="7" xfId="0" applyNumberFormat="1" applyFill="1" applyBorder="1" applyAlignment="1"/>
    <xf numFmtId="0" fontId="35" fillId="9" borderId="1" xfId="0" applyFont="1" applyFill="1" applyBorder="1" applyAlignment="1">
      <alignment horizontal="left" vertical="center" wrapText="1"/>
    </xf>
    <xf numFmtId="0" fontId="35" fillId="1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showGridLines="0" topLeftCell="A2" workbookViewId="0">
      <selection sqref="A1:C1"/>
    </sheetView>
  </sheetViews>
  <sheetFormatPr defaultColWidth="14.42578125" defaultRowHeight="15" customHeight="1" x14ac:dyDescent="0.25"/>
  <cols>
    <col min="1" max="1" width="28" customWidth="1"/>
    <col min="2" max="2" width="22" customWidth="1"/>
    <col min="3" max="3" width="50" customWidth="1"/>
    <col min="4" max="26" width="8.7109375" customWidth="1"/>
  </cols>
  <sheetData>
    <row r="1" spans="1:3" ht="36" customHeight="1" x14ac:dyDescent="0.25">
      <c r="A1" s="64" t="s">
        <v>0</v>
      </c>
      <c r="B1" s="55"/>
      <c r="C1" s="56"/>
    </row>
    <row r="2" spans="1:3" ht="21.75" customHeight="1" x14ac:dyDescent="0.25">
      <c r="A2" s="65" t="s">
        <v>1</v>
      </c>
      <c r="B2" s="55"/>
      <c r="C2" s="56"/>
    </row>
    <row r="4" spans="1:3" ht="19.5" customHeight="1" x14ac:dyDescent="0.25">
      <c r="A4" s="67" t="s">
        <v>2</v>
      </c>
      <c r="B4" s="55"/>
      <c r="C4" s="56"/>
    </row>
    <row r="5" spans="1:3" ht="19.5" customHeight="1" x14ac:dyDescent="0.25">
      <c r="A5" s="1" t="s">
        <v>3</v>
      </c>
      <c r="B5" s="2"/>
      <c r="C5" s="3" t="s">
        <v>4</v>
      </c>
    </row>
    <row r="6" spans="1:3" ht="19.5" customHeight="1" x14ac:dyDescent="0.25">
      <c r="A6" s="4" t="s">
        <v>5</v>
      </c>
      <c r="B6" s="5"/>
      <c r="C6" s="6" t="s">
        <v>6</v>
      </c>
    </row>
    <row r="7" spans="1:3" ht="19.5" customHeight="1" x14ac:dyDescent="0.25">
      <c r="A7" s="7" t="s">
        <v>7</v>
      </c>
      <c r="B7" s="8"/>
      <c r="C7" s="9" t="s">
        <v>8</v>
      </c>
    </row>
    <row r="8" spans="1:3" ht="19.5" customHeight="1" x14ac:dyDescent="0.25">
      <c r="A8" s="10" t="s">
        <v>9</v>
      </c>
      <c r="B8" s="11"/>
      <c r="C8" s="12" t="s">
        <v>10</v>
      </c>
    </row>
    <row r="9" spans="1:3" ht="19.5" customHeight="1" x14ac:dyDescent="0.25">
      <c r="A9" s="13" t="s">
        <v>11</v>
      </c>
      <c r="B9" s="14"/>
      <c r="C9" s="15" t="s">
        <v>12</v>
      </c>
    </row>
    <row r="11" spans="1:3" ht="19.5" customHeight="1" x14ac:dyDescent="0.25">
      <c r="A11" s="67" t="s">
        <v>13</v>
      </c>
      <c r="B11" s="55"/>
      <c r="C11" s="56"/>
    </row>
    <row r="12" spans="1:3" ht="21.75" customHeight="1" x14ac:dyDescent="0.25">
      <c r="A12" s="16" t="s">
        <v>14</v>
      </c>
      <c r="B12" s="16" t="s">
        <v>15</v>
      </c>
      <c r="C12" s="16" t="s">
        <v>16</v>
      </c>
    </row>
    <row r="13" spans="1:3" ht="21.75" customHeight="1" x14ac:dyDescent="0.25">
      <c r="A13" s="17" t="s">
        <v>17</v>
      </c>
      <c r="B13" s="17" t="s">
        <v>18</v>
      </c>
      <c r="C13" s="17" t="s">
        <v>19</v>
      </c>
    </row>
    <row r="14" spans="1:3" ht="21.75" customHeight="1" x14ac:dyDescent="0.25">
      <c r="A14" s="18" t="s">
        <v>20</v>
      </c>
      <c r="B14" s="18" t="s">
        <v>21</v>
      </c>
      <c r="C14" s="18" t="s">
        <v>22</v>
      </c>
    </row>
    <row r="15" spans="1:3" ht="21.75" customHeight="1" x14ac:dyDescent="0.25">
      <c r="A15" s="17" t="s">
        <v>23</v>
      </c>
      <c r="B15" s="17" t="s">
        <v>24</v>
      </c>
      <c r="C15" s="17" t="s">
        <v>25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C1"/>
    <mergeCell ref="A2:C2"/>
    <mergeCell ref="A4:C4"/>
    <mergeCell ref="A11:C11"/>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showGridLines="0" topLeftCell="A31" workbookViewId="0">
      <selection activeCell="B35" sqref="B35:G35"/>
    </sheetView>
  </sheetViews>
  <sheetFormatPr defaultColWidth="14.42578125" defaultRowHeight="15" customHeight="1" x14ac:dyDescent="0.25"/>
  <cols>
    <col min="1" max="1" width="26" customWidth="1"/>
    <col min="2" max="2" width="18" customWidth="1"/>
    <col min="3" max="3" width="28" customWidth="1"/>
    <col min="4" max="4" width="4" customWidth="1"/>
    <col min="5" max="5" width="26" customWidth="1"/>
    <col min="6" max="6" width="18" customWidth="1"/>
    <col min="7" max="7" width="28" customWidth="1"/>
    <col min="8" max="26" width="8.7109375" customWidth="1"/>
  </cols>
  <sheetData>
    <row r="1" spans="1:7" ht="36" customHeight="1" x14ac:dyDescent="0.25">
      <c r="A1" s="64" t="s">
        <v>26</v>
      </c>
      <c r="B1" s="55"/>
      <c r="C1" s="55"/>
      <c r="D1" s="55"/>
      <c r="E1" s="55"/>
      <c r="F1" s="55"/>
      <c r="G1" s="56"/>
    </row>
    <row r="2" spans="1:7" ht="21.75" customHeight="1" x14ac:dyDescent="0.25">
      <c r="A2" s="65" t="s">
        <v>27</v>
      </c>
      <c r="B2" s="55"/>
      <c r="C2" s="55"/>
      <c r="D2" s="55"/>
      <c r="E2" s="55"/>
      <c r="F2" s="55"/>
      <c r="G2" s="56"/>
    </row>
    <row r="4" spans="1:7" ht="24" customHeight="1" x14ac:dyDescent="0.25">
      <c r="A4" s="66" t="s">
        <v>28</v>
      </c>
      <c r="B4" s="55"/>
      <c r="C4" s="55"/>
      <c r="D4" s="55"/>
      <c r="E4" s="55"/>
      <c r="F4" s="55"/>
      <c r="G4" s="56"/>
    </row>
    <row r="5" spans="1:7" ht="19.5" customHeight="1" x14ac:dyDescent="0.25">
      <c r="A5" s="62" t="s">
        <v>29</v>
      </c>
      <c r="B5" s="55"/>
      <c r="C5" s="56"/>
      <c r="E5" s="58" t="s">
        <v>30</v>
      </c>
      <c r="F5" s="55"/>
      <c r="G5" s="56"/>
    </row>
    <row r="6" spans="1:7" ht="21.75" customHeight="1" x14ac:dyDescent="0.25">
      <c r="A6" s="19" t="s">
        <v>31</v>
      </c>
      <c r="B6" s="20">
        <v>500000</v>
      </c>
      <c r="E6" s="19" t="s">
        <v>32</v>
      </c>
      <c r="F6" s="21">
        <f>PMT(B7/12,B8,-B6)</f>
        <v>9000.0000000443997</v>
      </c>
    </row>
    <row r="7" spans="1:7" ht="21.75" customHeight="1" x14ac:dyDescent="0.25">
      <c r="A7" s="19" t="s">
        <v>33</v>
      </c>
      <c r="B7" s="22">
        <v>3.0704170642958762E-2</v>
      </c>
      <c r="E7" s="63" t="s">
        <v>34</v>
      </c>
      <c r="F7" s="55"/>
      <c r="G7" s="56"/>
    </row>
    <row r="8" spans="1:7" ht="21.75" customHeight="1" x14ac:dyDescent="0.25">
      <c r="A8" s="19" t="s">
        <v>35</v>
      </c>
      <c r="B8" s="23">
        <v>60</v>
      </c>
      <c r="E8" s="63" t="s">
        <v>36</v>
      </c>
      <c r="F8" s="55"/>
      <c r="G8" s="56"/>
    </row>
    <row r="10" spans="1:7" ht="24" customHeight="1" x14ac:dyDescent="0.25">
      <c r="A10" s="59" t="s">
        <v>37</v>
      </c>
      <c r="B10" s="55"/>
      <c r="C10" s="55"/>
      <c r="D10" s="55"/>
      <c r="E10" s="55"/>
      <c r="F10" s="55"/>
      <c r="G10" s="56"/>
    </row>
    <row r="11" spans="1:7" ht="27.75" customHeight="1" x14ac:dyDescent="0.25">
      <c r="A11" s="24" t="s">
        <v>38</v>
      </c>
      <c r="B11" s="54" t="s">
        <v>39</v>
      </c>
      <c r="C11" s="55"/>
      <c r="D11" s="55"/>
      <c r="E11" s="55"/>
      <c r="F11" s="55"/>
      <c r="G11" s="56"/>
    </row>
    <row r="12" spans="1:7" ht="27.75" customHeight="1" x14ac:dyDescent="0.25">
      <c r="A12" s="24" t="s">
        <v>40</v>
      </c>
      <c r="B12" s="54" t="s">
        <v>160</v>
      </c>
      <c r="C12" s="55"/>
      <c r="D12" s="55"/>
      <c r="E12" s="55"/>
      <c r="F12" s="55"/>
      <c r="G12" s="56"/>
    </row>
    <row r="13" spans="1:7" ht="27.75" customHeight="1" x14ac:dyDescent="0.25">
      <c r="A13" s="24" t="s">
        <v>41</v>
      </c>
      <c r="B13" s="54" t="s">
        <v>161</v>
      </c>
      <c r="C13" s="55"/>
      <c r="D13" s="55"/>
      <c r="E13" s="55"/>
      <c r="F13" s="55"/>
      <c r="G13" s="56"/>
    </row>
    <row r="14" spans="1:7" ht="27.75" customHeight="1" x14ac:dyDescent="0.25">
      <c r="A14" s="24" t="s">
        <v>42</v>
      </c>
      <c r="B14" s="54" t="s">
        <v>162</v>
      </c>
      <c r="C14" s="55"/>
      <c r="D14" s="55"/>
      <c r="E14" s="55"/>
      <c r="F14" s="55"/>
      <c r="G14" s="56"/>
    </row>
    <row r="16" spans="1:7" ht="24" customHeight="1" x14ac:dyDescent="0.25">
      <c r="A16" s="61" t="s">
        <v>43</v>
      </c>
      <c r="B16" s="55"/>
      <c r="C16" s="55"/>
      <c r="D16" s="55"/>
      <c r="E16" s="55"/>
      <c r="F16" s="55"/>
      <c r="G16" s="56"/>
    </row>
    <row r="17" spans="1:7" ht="19.5" customHeight="1" x14ac:dyDescent="0.25">
      <c r="A17" s="62" t="s">
        <v>44</v>
      </c>
      <c r="B17" s="55"/>
      <c r="C17" s="56"/>
      <c r="E17" s="58" t="s">
        <v>45</v>
      </c>
      <c r="F17" s="55"/>
      <c r="G17" s="56"/>
    </row>
    <row r="18" spans="1:7" ht="21.75" customHeight="1" x14ac:dyDescent="0.25">
      <c r="A18" s="19" t="s">
        <v>46</v>
      </c>
      <c r="B18" s="20">
        <v>250</v>
      </c>
      <c r="E18" s="19" t="s">
        <v>47</v>
      </c>
      <c r="F18" s="25">
        <f>B20*B19</f>
        <v>600000</v>
      </c>
    </row>
    <row r="19" spans="1:7" ht="21.75" customHeight="1" x14ac:dyDescent="0.25">
      <c r="A19" s="19" t="s">
        <v>48</v>
      </c>
      <c r="B19" s="20">
        <v>2000</v>
      </c>
      <c r="E19" s="19" t="s">
        <v>49</v>
      </c>
      <c r="F19" s="25">
        <f>B18*B19</f>
        <v>500000</v>
      </c>
    </row>
    <row r="20" spans="1:7" ht="21.75" customHeight="1" x14ac:dyDescent="0.25">
      <c r="A20" s="19" t="s">
        <v>50</v>
      </c>
      <c r="B20" s="20">
        <v>300</v>
      </c>
      <c r="E20" s="19" t="s">
        <v>51</v>
      </c>
      <c r="F20" s="25">
        <f>(B20-B18)*B19</f>
        <v>100000</v>
      </c>
    </row>
    <row r="21" spans="1:7" ht="21.75" customHeight="1" x14ac:dyDescent="0.25">
      <c r="E21" s="19" t="s">
        <v>52</v>
      </c>
      <c r="F21" s="26">
        <f>IF(F18=0,0,F20/F18)</f>
        <v>0.16666666666666666</v>
      </c>
    </row>
    <row r="22" spans="1:7" ht="15.75" customHeight="1" x14ac:dyDescent="0.25"/>
    <row r="23" spans="1:7" ht="24" customHeight="1" x14ac:dyDescent="0.25">
      <c r="A23" s="59" t="s">
        <v>53</v>
      </c>
      <c r="B23" s="55"/>
      <c r="C23" s="55"/>
      <c r="D23" s="55"/>
      <c r="E23" s="55"/>
      <c r="F23" s="55"/>
      <c r="G23" s="56"/>
    </row>
    <row r="24" spans="1:7" ht="27.75" customHeight="1" x14ac:dyDescent="0.25">
      <c r="A24" s="24" t="s">
        <v>54</v>
      </c>
      <c r="B24" s="54" t="s">
        <v>163</v>
      </c>
      <c r="C24" s="55"/>
      <c r="D24" s="55"/>
      <c r="E24" s="55"/>
      <c r="F24" s="55"/>
      <c r="G24" s="56"/>
    </row>
    <row r="25" spans="1:7" ht="27.75" customHeight="1" x14ac:dyDescent="0.25">
      <c r="A25" s="24" t="s">
        <v>55</v>
      </c>
      <c r="B25" s="54" t="s">
        <v>164</v>
      </c>
      <c r="C25" s="55"/>
      <c r="D25" s="55"/>
      <c r="E25" s="55"/>
      <c r="F25" s="55"/>
      <c r="G25" s="56"/>
    </row>
    <row r="26" spans="1:7" ht="27.75" customHeight="1" x14ac:dyDescent="0.25">
      <c r="A26" s="24" t="s">
        <v>56</v>
      </c>
      <c r="B26" s="54" t="s">
        <v>165</v>
      </c>
      <c r="C26" s="55"/>
      <c r="D26" s="55"/>
      <c r="E26" s="55"/>
      <c r="F26" s="55"/>
      <c r="G26" s="56"/>
    </row>
    <row r="27" spans="1:7" ht="27.75" customHeight="1" x14ac:dyDescent="0.25">
      <c r="A27" s="24" t="s">
        <v>57</v>
      </c>
      <c r="B27" s="54" t="s">
        <v>166</v>
      </c>
      <c r="C27" s="55"/>
      <c r="D27" s="55"/>
      <c r="E27" s="55"/>
      <c r="F27" s="55"/>
      <c r="G27" s="56"/>
    </row>
    <row r="28" spans="1:7" ht="15.75" customHeight="1" x14ac:dyDescent="0.25"/>
    <row r="29" spans="1:7" ht="24" customHeight="1" x14ac:dyDescent="0.25">
      <c r="A29" s="60" t="s">
        <v>58</v>
      </c>
      <c r="B29" s="55"/>
      <c r="C29" s="55"/>
      <c r="D29" s="55"/>
      <c r="E29" s="55"/>
      <c r="F29" s="55"/>
      <c r="G29" s="56"/>
    </row>
    <row r="30" spans="1:7" ht="21.75" customHeight="1" x14ac:dyDescent="0.25">
      <c r="A30" s="19" t="s">
        <v>59</v>
      </c>
      <c r="B30" s="23">
        <v>20.8</v>
      </c>
      <c r="E30" s="19" t="s">
        <v>60</v>
      </c>
      <c r="F30" s="27">
        <f>B30/B31</f>
        <v>0.8</v>
      </c>
    </row>
    <row r="31" spans="1:7" ht="21.75" customHeight="1" x14ac:dyDescent="0.25">
      <c r="A31" s="19" t="s">
        <v>61</v>
      </c>
      <c r="B31" s="23">
        <v>26</v>
      </c>
    </row>
    <row r="32" spans="1:7" ht="24" customHeight="1" x14ac:dyDescent="0.25">
      <c r="A32" s="59" t="s">
        <v>62</v>
      </c>
      <c r="B32" s="55"/>
      <c r="C32" s="55"/>
      <c r="D32" s="55"/>
      <c r="E32" s="55"/>
      <c r="F32" s="55"/>
      <c r="G32" s="56"/>
    </row>
    <row r="33" spans="1:7" ht="27.75" customHeight="1" x14ac:dyDescent="0.25">
      <c r="A33" s="24" t="s">
        <v>63</v>
      </c>
      <c r="B33" s="54" t="s">
        <v>167</v>
      </c>
      <c r="C33" s="55"/>
      <c r="D33" s="55"/>
      <c r="E33" s="55"/>
      <c r="F33" s="55"/>
      <c r="G33" s="56"/>
    </row>
    <row r="34" spans="1:7" ht="27.75" customHeight="1" x14ac:dyDescent="0.25">
      <c r="A34" s="24" t="s">
        <v>64</v>
      </c>
      <c r="B34" s="54" t="s">
        <v>168</v>
      </c>
      <c r="C34" s="55"/>
      <c r="D34" s="55"/>
      <c r="E34" s="55"/>
      <c r="F34" s="55"/>
      <c r="G34" s="56"/>
    </row>
    <row r="35" spans="1:7" ht="27.75" customHeight="1" x14ac:dyDescent="0.25">
      <c r="A35" s="24" t="s">
        <v>65</v>
      </c>
      <c r="B35" s="54" t="s">
        <v>169</v>
      </c>
      <c r="C35" s="55"/>
      <c r="D35" s="55"/>
      <c r="E35" s="55"/>
      <c r="F35" s="55"/>
      <c r="G35" s="56"/>
    </row>
    <row r="36" spans="1:7" ht="15.75" customHeight="1" x14ac:dyDescent="0.25"/>
    <row r="37" spans="1:7" ht="30" customHeight="1" x14ac:dyDescent="0.25">
      <c r="A37" s="57" t="s">
        <v>66</v>
      </c>
      <c r="B37" s="55"/>
      <c r="C37" s="55"/>
      <c r="D37" s="55"/>
      <c r="E37" s="55"/>
      <c r="F37" s="55"/>
      <c r="G37" s="56"/>
    </row>
    <row r="38" spans="1:7" ht="15.75" customHeight="1" x14ac:dyDescent="0.25"/>
    <row r="39" spans="1:7" ht="15.75" customHeight="1" x14ac:dyDescent="0.25"/>
    <row r="40" spans="1:7" ht="15.75" customHeight="1" x14ac:dyDescent="0.25"/>
    <row r="41" spans="1:7" ht="15.75" customHeight="1" x14ac:dyDescent="0.25"/>
    <row r="42" spans="1:7" ht="15.75" customHeight="1" x14ac:dyDescent="0.25"/>
    <row r="43" spans="1:7" ht="15.75" customHeight="1" x14ac:dyDescent="0.25"/>
    <row r="44" spans="1:7" ht="15.75" customHeight="1" x14ac:dyDescent="0.25"/>
    <row r="45" spans="1:7" ht="15.75" customHeight="1" x14ac:dyDescent="0.25"/>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A1:G1"/>
    <mergeCell ref="A2:G2"/>
    <mergeCell ref="A4:G4"/>
    <mergeCell ref="A5:C5"/>
    <mergeCell ref="E5:G5"/>
    <mergeCell ref="E7:G7"/>
    <mergeCell ref="E8:G8"/>
    <mergeCell ref="A10:G10"/>
    <mergeCell ref="B11:G11"/>
    <mergeCell ref="B12:G12"/>
    <mergeCell ref="B13:G13"/>
    <mergeCell ref="B14:G14"/>
    <mergeCell ref="A16:G16"/>
    <mergeCell ref="A17:C17"/>
    <mergeCell ref="A32:G32"/>
    <mergeCell ref="B33:G33"/>
    <mergeCell ref="B34:G34"/>
    <mergeCell ref="B35:G35"/>
    <mergeCell ref="A37:G37"/>
    <mergeCell ref="E17:G17"/>
    <mergeCell ref="A23:G23"/>
    <mergeCell ref="B24:G24"/>
    <mergeCell ref="B25:G25"/>
    <mergeCell ref="B26:G26"/>
    <mergeCell ref="B27:G27"/>
    <mergeCell ref="A29:G29"/>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showGridLines="0" topLeftCell="A29" workbookViewId="0">
      <selection activeCell="B51" sqref="B51:I51"/>
    </sheetView>
  </sheetViews>
  <sheetFormatPr defaultColWidth="14.42578125" defaultRowHeight="15" customHeight="1" x14ac:dyDescent="0.25"/>
  <cols>
    <col min="1" max="1" width="22" customWidth="1"/>
    <col min="2" max="9" width="16" customWidth="1"/>
    <col min="10" max="26" width="8.7109375" customWidth="1"/>
  </cols>
  <sheetData>
    <row r="1" spans="1:9" ht="36" customHeight="1" x14ac:dyDescent="0.25">
      <c r="A1" s="64" t="s">
        <v>67</v>
      </c>
      <c r="B1" s="55"/>
      <c r="C1" s="55"/>
      <c r="D1" s="55"/>
      <c r="E1" s="55"/>
      <c r="F1" s="55"/>
      <c r="G1" s="55"/>
      <c r="H1" s="55"/>
      <c r="I1" s="56"/>
    </row>
    <row r="2" spans="1:9" ht="21.75" customHeight="1" x14ac:dyDescent="0.25">
      <c r="A2" s="65" t="s">
        <v>68</v>
      </c>
      <c r="B2" s="55"/>
      <c r="C2" s="55"/>
      <c r="D2" s="55"/>
      <c r="E2" s="55"/>
      <c r="F2" s="55"/>
      <c r="G2" s="55"/>
      <c r="H2" s="55"/>
      <c r="I2" s="56"/>
    </row>
    <row r="4" spans="1:9" ht="24" customHeight="1" x14ac:dyDescent="0.25">
      <c r="A4" s="66" t="s">
        <v>69</v>
      </c>
      <c r="B4" s="55"/>
      <c r="C4" s="55"/>
      <c r="D4" s="55"/>
      <c r="E4" s="55"/>
      <c r="F4" s="55"/>
      <c r="G4" s="55"/>
      <c r="H4" s="55"/>
      <c r="I4" s="56"/>
    </row>
    <row r="5" spans="1:9" ht="21.75" customHeight="1" x14ac:dyDescent="0.25">
      <c r="A5" s="19" t="s">
        <v>31</v>
      </c>
      <c r="B5" s="20">
        <v>500000</v>
      </c>
      <c r="E5" s="19" t="s">
        <v>32</v>
      </c>
      <c r="F5" s="21">
        <f>PMT(B6/12,B7,-B5)</f>
        <v>10623.522355634139</v>
      </c>
    </row>
    <row r="6" spans="1:9" ht="21.75" customHeight="1" x14ac:dyDescent="0.25">
      <c r="A6" s="19" t="s">
        <v>33</v>
      </c>
      <c r="B6" s="22">
        <v>0.1</v>
      </c>
      <c r="E6" s="63" t="s">
        <v>70</v>
      </c>
      <c r="F6" s="55"/>
      <c r="G6" s="55"/>
      <c r="H6" s="55"/>
      <c r="I6" s="56"/>
    </row>
    <row r="7" spans="1:9" ht="21.75" customHeight="1" x14ac:dyDescent="0.25">
      <c r="A7" s="19" t="s">
        <v>35</v>
      </c>
      <c r="B7" s="23">
        <v>60</v>
      </c>
    </row>
    <row r="9" spans="1:9" ht="24" customHeight="1" x14ac:dyDescent="0.25">
      <c r="A9" s="61" t="s">
        <v>71</v>
      </c>
      <c r="B9" s="55"/>
      <c r="C9" s="55"/>
      <c r="D9" s="55"/>
      <c r="E9" s="55"/>
      <c r="F9" s="55"/>
      <c r="G9" s="55"/>
      <c r="H9" s="55"/>
      <c r="I9" s="56"/>
    </row>
    <row r="10" spans="1:9" ht="30" customHeight="1" x14ac:dyDescent="0.25">
      <c r="A10" s="68" t="s">
        <v>72</v>
      </c>
      <c r="B10" s="55"/>
      <c r="C10" s="55"/>
      <c r="D10" s="55"/>
      <c r="E10" s="55"/>
      <c r="F10" s="55"/>
      <c r="G10" s="55"/>
      <c r="H10" s="55"/>
      <c r="I10" s="56"/>
    </row>
    <row r="11" spans="1:9" ht="21.75" customHeight="1" x14ac:dyDescent="0.25">
      <c r="C11" s="16" t="s">
        <v>73</v>
      </c>
      <c r="D11" s="28">
        <f>F5</f>
        <v>10623.522355634139</v>
      </c>
    </row>
    <row r="12" spans="1:9" ht="19.5" customHeight="1" x14ac:dyDescent="0.25">
      <c r="C12" s="29">
        <v>0.08</v>
      </c>
      <c r="D12" s="30">
        <f t="dataTable" ref="D12:D18" dt2D="0" dtr="0" r1="B6"/>
        <v>10138.197144206841</v>
      </c>
    </row>
    <row r="13" spans="1:9" ht="19.5" customHeight="1" x14ac:dyDescent="0.25">
      <c r="C13" s="29">
        <v>0.09</v>
      </c>
      <c r="D13" s="30">
        <v>10379.177613177004</v>
      </c>
    </row>
    <row r="14" spans="1:9" ht="19.5" customHeight="1" x14ac:dyDescent="0.25">
      <c r="C14" s="29">
        <v>0.1</v>
      </c>
      <c r="D14" s="30">
        <v>10623.522355634139</v>
      </c>
    </row>
    <row r="15" spans="1:9" ht="19.5" customHeight="1" x14ac:dyDescent="0.25">
      <c r="C15" s="29">
        <v>0.11</v>
      </c>
      <c r="D15" s="30">
        <v>10871.211536321653</v>
      </c>
    </row>
    <row r="16" spans="1:9" ht="19.5" customHeight="1" x14ac:dyDescent="0.25">
      <c r="C16" s="29">
        <v>0.12</v>
      </c>
      <c r="D16" s="30">
        <v>11122.223842450885</v>
      </c>
    </row>
    <row r="17" spans="1:9" ht="19.5" customHeight="1" x14ac:dyDescent="0.25">
      <c r="C17" s="29">
        <v>0.13</v>
      </c>
      <c r="D17" s="30">
        <v>11376.536522112012</v>
      </c>
    </row>
    <row r="18" spans="1:9" ht="19.5" customHeight="1" x14ac:dyDescent="0.25">
      <c r="C18" s="29">
        <v>0.14000000000000001</v>
      </c>
      <c r="D18" s="30">
        <v>11634.125424693848</v>
      </c>
    </row>
    <row r="19" spans="1:9" ht="30" customHeight="1" x14ac:dyDescent="0.25">
      <c r="A19" s="68" t="s">
        <v>74</v>
      </c>
      <c r="B19" s="55"/>
      <c r="C19" s="55"/>
      <c r="D19" s="55"/>
      <c r="E19" s="55"/>
      <c r="F19" s="55"/>
      <c r="G19" s="55"/>
      <c r="H19" s="55"/>
      <c r="I19" s="56"/>
    </row>
    <row r="21" spans="1:9" ht="24" customHeight="1" x14ac:dyDescent="0.25">
      <c r="A21" s="61" t="s">
        <v>75</v>
      </c>
      <c r="B21" s="55"/>
      <c r="C21" s="55"/>
      <c r="D21" s="55"/>
      <c r="E21" s="55"/>
      <c r="F21" s="55"/>
      <c r="G21" s="55"/>
      <c r="H21" s="55"/>
      <c r="I21" s="56"/>
    </row>
    <row r="22" spans="1:9" ht="30" customHeight="1" x14ac:dyDescent="0.25">
      <c r="A22" s="68" t="s">
        <v>76</v>
      </c>
      <c r="B22" s="55"/>
      <c r="C22" s="55"/>
      <c r="D22" s="55"/>
      <c r="E22" s="55"/>
      <c r="F22" s="55"/>
      <c r="G22" s="55"/>
      <c r="H22" s="55"/>
      <c r="I22" s="56"/>
    </row>
    <row r="23" spans="1:9" ht="21.75" customHeight="1" x14ac:dyDescent="0.25">
      <c r="F23" s="16" t="s">
        <v>31</v>
      </c>
      <c r="G23" s="28">
        <f>F5</f>
        <v>10623.522355634139</v>
      </c>
    </row>
    <row r="24" spans="1:9" ht="19.5" customHeight="1" x14ac:dyDescent="0.25">
      <c r="F24" s="31">
        <v>200000</v>
      </c>
      <c r="G24" s="30">
        <f t="dataTable" ref="G24:G32" dt2D="0" dtr="0" r1="B5" ca="1"/>
        <v>4249.4089422536554</v>
      </c>
    </row>
    <row r="25" spans="1:9" ht="19.5" customHeight="1" x14ac:dyDescent="0.25">
      <c r="F25" s="31">
        <v>300000</v>
      </c>
      <c r="G25" s="30">
        <v>6374.1134133804835</v>
      </c>
    </row>
    <row r="26" spans="1:9" ht="19.5" customHeight="1" x14ac:dyDescent="0.25">
      <c r="F26" s="31">
        <v>400000</v>
      </c>
      <c r="G26" s="30">
        <v>8498.8178845073107</v>
      </c>
    </row>
    <row r="27" spans="1:9" ht="19.5" customHeight="1" x14ac:dyDescent="0.25">
      <c r="F27" s="31">
        <v>500000</v>
      </c>
      <c r="G27" s="30">
        <v>10623.522355634139</v>
      </c>
    </row>
    <row r="28" spans="1:9" ht="19.5" customHeight="1" x14ac:dyDescent="0.25">
      <c r="F28" s="31">
        <v>600000</v>
      </c>
      <c r="G28" s="30">
        <v>12748.226826760967</v>
      </c>
    </row>
    <row r="29" spans="1:9" ht="19.5" customHeight="1" x14ac:dyDescent="0.25">
      <c r="F29" s="31">
        <v>700000</v>
      </c>
      <c r="G29" s="30">
        <v>14872.931297887793</v>
      </c>
    </row>
    <row r="30" spans="1:9" ht="19.5" customHeight="1" x14ac:dyDescent="0.25">
      <c r="F30" s="31">
        <v>800000</v>
      </c>
      <c r="G30" s="30">
        <v>16997.635769014621</v>
      </c>
    </row>
    <row r="31" spans="1:9" ht="19.5" customHeight="1" x14ac:dyDescent="0.25">
      <c r="F31" s="31">
        <v>900000</v>
      </c>
      <c r="G31" s="30">
        <v>19122.340240141446</v>
      </c>
    </row>
    <row r="32" spans="1:9" ht="19.5" customHeight="1" x14ac:dyDescent="0.25">
      <c r="F32" s="31">
        <v>1000000</v>
      </c>
      <c r="G32" s="30">
        <v>21247.044711268278</v>
      </c>
    </row>
    <row r="33" spans="1:9" ht="15.75" customHeight="1" x14ac:dyDescent="0.25"/>
    <row r="34" spans="1:9" ht="24" customHeight="1" x14ac:dyDescent="0.25">
      <c r="A34" s="66" t="s">
        <v>77</v>
      </c>
      <c r="B34" s="55"/>
      <c r="C34" s="55"/>
      <c r="D34" s="55"/>
      <c r="E34" s="55"/>
      <c r="F34" s="55"/>
      <c r="G34" s="55"/>
      <c r="H34" s="55"/>
      <c r="I34" s="56"/>
    </row>
    <row r="35" spans="1:9" ht="21.75" customHeight="1" x14ac:dyDescent="0.25">
      <c r="A35" s="19" t="s">
        <v>46</v>
      </c>
      <c r="B35" s="20">
        <v>250</v>
      </c>
      <c r="E35" s="19" t="s">
        <v>51</v>
      </c>
      <c r="F35" s="32">
        <f>(B37-B35)*B36</f>
        <v>25000</v>
      </c>
    </row>
    <row r="36" spans="1:9" ht="21.75" customHeight="1" x14ac:dyDescent="0.25">
      <c r="A36" s="19" t="s">
        <v>48</v>
      </c>
      <c r="B36" s="20">
        <v>500</v>
      </c>
    </row>
    <row r="37" spans="1:9" ht="21.75" customHeight="1" x14ac:dyDescent="0.25">
      <c r="A37" s="19" t="s">
        <v>50</v>
      </c>
      <c r="B37" s="20">
        <v>300</v>
      </c>
    </row>
    <row r="38" spans="1:9" ht="15.75" customHeight="1" x14ac:dyDescent="0.25"/>
    <row r="39" spans="1:9" ht="24" customHeight="1" x14ac:dyDescent="0.25">
      <c r="A39" s="59" t="s">
        <v>78</v>
      </c>
      <c r="B39" s="55"/>
      <c r="C39" s="55"/>
      <c r="D39" s="55"/>
      <c r="E39" s="55"/>
      <c r="F39" s="55"/>
      <c r="G39" s="55"/>
      <c r="H39" s="55"/>
      <c r="I39" s="56"/>
    </row>
    <row r="40" spans="1:9" ht="30" customHeight="1" x14ac:dyDescent="0.25">
      <c r="A40" s="68" t="s">
        <v>79</v>
      </c>
      <c r="B40" s="55"/>
      <c r="C40" s="55"/>
      <c r="D40" s="55"/>
      <c r="E40" s="55"/>
      <c r="F40" s="55"/>
      <c r="G40" s="55"/>
      <c r="H40" s="55"/>
      <c r="I40" s="56"/>
    </row>
    <row r="41" spans="1:9" ht="21.75" customHeight="1" x14ac:dyDescent="0.25">
      <c r="B41" s="33">
        <f>F35</f>
        <v>25000</v>
      </c>
      <c r="C41" s="34">
        <v>260</v>
      </c>
      <c r="D41" s="34">
        <v>280</v>
      </c>
      <c r="E41" s="34">
        <v>300</v>
      </c>
      <c r="F41" s="34">
        <v>320</v>
      </c>
      <c r="G41" s="34">
        <v>340</v>
      </c>
    </row>
    <row r="42" spans="1:9" ht="19.5" customHeight="1" x14ac:dyDescent="0.25">
      <c r="B42" s="35">
        <v>300</v>
      </c>
      <c r="C42" s="36">
        <f t="dataTable" ref="C42:G46" dt2D="1" dtr="1" r1="B37" r2="B36"/>
        <v>3000</v>
      </c>
      <c r="D42" s="36">
        <v>9000</v>
      </c>
      <c r="E42" s="36">
        <v>15000</v>
      </c>
      <c r="F42" s="36">
        <v>21000</v>
      </c>
      <c r="G42" s="36">
        <v>27000</v>
      </c>
    </row>
    <row r="43" spans="1:9" ht="19.5" customHeight="1" x14ac:dyDescent="0.25">
      <c r="B43" s="35">
        <v>400</v>
      </c>
      <c r="C43" s="36">
        <v>4000</v>
      </c>
      <c r="D43" s="36">
        <v>12000</v>
      </c>
      <c r="E43" s="36">
        <v>20000</v>
      </c>
      <c r="F43" s="36">
        <v>28000</v>
      </c>
      <c r="G43" s="36">
        <v>36000</v>
      </c>
    </row>
    <row r="44" spans="1:9" ht="19.5" customHeight="1" x14ac:dyDescent="0.25">
      <c r="B44" s="35">
        <v>500</v>
      </c>
      <c r="C44" s="36">
        <v>5000</v>
      </c>
      <c r="D44" s="36">
        <v>15000</v>
      </c>
      <c r="E44" s="36">
        <v>25000</v>
      </c>
      <c r="F44" s="36">
        <v>35000</v>
      </c>
      <c r="G44" s="36">
        <v>45000</v>
      </c>
    </row>
    <row r="45" spans="1:9" ht="19.5" customHeight="1" x14ac:dyDescent="0.25">
      <c r="B45" s="35">
        <v>600</v>
      </c>
      <c r="C45" s="36">
        <v>6000</v>
      </c>
      <c r="D45" s="36">
        <v>18000</v>
      </c>
      <c r="E45" s="36">
        <v>30000</v>
      </c>
      <c r="F45" s="36">
        <v>42000</v>
      </c>
      <c r="G45" s="36">
        <v>54000</v>
      </c>
    </row>
    <row r="46" spans="1:9" ht="19.5" customHeight="1" x14ac:dyDescent="0.25">
      <c r="B46" s="35">
        <v>700</v>
      </c>
      <c r="C46" s="36">
        <v>7000</v>
      </c>
      <c r="D46" s="36">
        <v>21000</v>
      </c>
      <c r="E46" s="36">
        <v>35000</v>
      </c>
      <c r="F46" s="36">
        <v>49000</v>
      </c>
      <c r="G46" s="36">
        <v>63000</v>
      </c>
    </row>
    <row r="47" spans="1:9" ht="15.75" customHeight="1" x14ac:dyDescent="0.25"/>
    <row r="48" spans="1:9" ht="30" customHeight="1" x14ac:dyDescent="0.25">
      <c r="A48" s="68" t="s">
        <v>80</v>
      </c>
      <c r="B48" s="55"/>
      <c r="C48" s="55"/>
      <c r="D48" s="55"/>
      <c r="E48" s="55"/>
      <c r="F48" s="55"/>
      <c r="G48" s="55"/>
      <c r="H48" s="55"/>
      <c r="I48" s="56"/>
    </row>
    <row r="49" spans="1:9" ht="15.75" customHeight="1" x14ac:dyDescent="0.25"/>
    <row r="50" spans="1:9" ht="24" customHeight="1" x14ac:dyDescent="0.25">
      <c r="A50" s="69" t="s">
        <v>81</v>
      </c>
      <c r="B50" s="55"/>
      <c r="C50" s="55"/>
      <c r="D50" s="55"/>
      <c r="E50" s="55"/>
      <c r="F50" s="55"/>
      <c r="G50" s="55"/>
      <c r="H50" s="55"/>
      <c r="I50" s="56"/>
    </row>
    <row r="51" spans="1:9" ht="27.75" customHeight="1" x14ac:dyDescent="0.25">
      <c r="A51" s="24" t="s">
        <v>82</v>
      </c>
      <c r="B51" s="54" t="s">
        <v>174</v>
      </c>
      <c r="C51" s="55"/>
      <c r="D51" s="55"/>
      <c r="E51" s="55"/>
      <c r="F51" s="55"/>
      <c r="G51" s="55"/>
      <c r="H51" s="55"/>
      <c r="I51" s="56"/>
    </row>
    <row r="52" spans="1:9" ht="27.75" customHeight="1" x14ac:dyDescent="0.25">
      <c r="A52" s="24" t="s">
        <v>83</v>
      </c>
      <c r="B52" s="54" t="s">
        <v>173</v>
      </c>
      <c r="C52" s="55"/>
      <c r="D52" s="55"/>
      <c r="E52" s="55"/>
      <c r="F52" s="55"/>
      <c r="G52" s="55"/>
      <c r="H52" s="55"/>
      <c r="I52" s="56"/>
    </row>
    <row r="53" spans="1:9" ht="27.75" customHeight="1" x14ac:dyDescent="0.25">
      <c r="A53" s="24" t="s">
        <v>84</v>
      </c>
      <c r="B53" s="54" t="s">
        <v>170</v>
      </c>
      <c r="C53" s="55"/>
      <c r="D53" s="55"/>
      <c r="E53" s="55"/>
      <c r="F53" s="55"/>
      <c r="G53" s="55"/>
      <c r="H53" s="55"/>
      <c r="I53" s="56"/>
    </row>
    <row r="54" spans="1:9" ht="27.75" customHeight="1" x14ac:dyDescent="0.25">
      <c r="A54" s="24" t="s">
        <v>85</v>
      </c>
      <c r="B54" s="54" t="s">
        <v>172</v>
      </c>
      <c r="C54" s="55"/>
      <c r="D54" s="55"/>
      <c r="E54" s="55"/>
      <c r="F54" s="55"/>
      <c r="G54" s="55"/>
      <c r="H54" s="55"/>
      <c r="I54" s="56"/>
    </row>
    <row r="55" spans="1:9" ht="27.75" customHeight="1" x14ac:dyDescent="0.25">
      <c r="A55" s="24" t="s">
        <v>86</v>
      </c>
      <c r="B55" s="54" t="s">
        <v>171</v>
      </c>
      <c r="C55" s="55"/>
      <c r="D55" s="55"/>
      <c r="E55" s="55"/>
      <c r="F55" s="55"/>
      <c r="G55" s="55"/>
      <c r="H55" s="55"/>
      <c r="I55" s="56"/>
    </row>
    <row r="56" spans="1:9" ht="15.75" customHeight="1" x14ac:dyDescent="0.25"/>
    <row r="57" spans="1:9" ht="30" customHeight="1" x14ac:dyDescent="0.25">
      <c r="A57" s="57" t="s">
        <v>87</v>
      </c>
      <c r="B57" s="55"/>
      <c r="C57" s="55"/>
      <c r="D57" s="55"/>
      <c r="E57" s="55"/>
      <c r="F57" s="55"/>
      <c r="G57" s="55"/>
      <c r="H57" s="55"/>
      <c r="I57" s="56"/>
    </row>
    <row r="58" spans="1:9" ht="15.75" customHeight="1" x14ac:dyDescent="0.25"/>
    <row r="59" spans="1:9" ht="15.75" customHeight="1" x14ac:dyDescent="0.25"/>
    <row r="60" spans="1:9" ht="15.75" customHeight="1" x14ac:dyDescent="0.25"/>
    <row r="61" spans="1:9" ht="15.75" customHeight="1" x14ac:dyDescent="0.25"/>
    <row r="62" spans="1:9" ht="15.75" customHeight="1" x14ac:dyDescent="0.25"/>
    <row r="63" spans="1:9" ht="15.75" customHeight="1" x14ac:dyDescent="0.25"/>
    <row r="64" spans="1:9"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0">
    <mergeCell ref="A1:I1"/>
    <mergeCell ref="A2:I2"/>
    <mergeCell ref="A4:I4"/>
    <mergeCell ref="E6:I6"/>
    <mergeCell ref="A9:I9"/>
    <mergeCell ref="A10:I10"/>
    <mergeCell ref="A19:I19"/>
    <mergeCell ref="B51:I51"/>
    <mergeCell ref="B52:I52"/>
    <mergeCell ref="B53:I53"/>
    <mergeCell ref="B54:I54"/>
    <mergeCell ref="B55:I55"/>
    <mergeCell ref="A57:I57"/>
    <mergeCell ref="A21:I21"/>
    <mergeCell ref="A22:I22"/>
    <mergeCell ref="A34:I34"/>
    <mergeCell ref="A39:I39"/>
    <mergeCell ref="A40:I40"/>
    <mergeCell ref="A48:I48"/>
    <mergeCell ref="A50:I50"/>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4209B-9EF7-4329-8965-6AF3B9B2BF87}">
  <sheetPr>
    <outlinePr summaryBelow="0"/>
  </sheetPr>
  <dimension ref="B1:G14"/>
  <sheetViews>
    <sheetView showGridLines="0" workbookViewId="0"/>
  </sheetViews>
  <sheetFormatPr defaultRowHeight="15" outlineLevelRow="1" outlineLevelCol="1" x14ac:dyDescent="0.25"/>
  <cols>
    <col min="3" max="3" width="8.85546875" bestFit="1" customWidth="1"/>
    <col min="4" max="7" width="13.140625" bestFit="1" customWidth="1" outlineLevel="1"/>
  </cols>
  <sheetData>
    <row r="1" spans="2:7" ht="15.75" thickBot="1" x14ac:dyDescent="0.3"/>
    <row r="2" spans="2:7" ht="15.75" x14ac:dyDescent="0.25">
      <c r="B2" s="77" t="s">
        <v>179</v>
      </c>
      <c r="C2" s="77"/>
      <c r="D2" s="82"/>
      <c r="E2" s="82"/>
      <c r="F2" s="82"/>
      <c r="G2" s="82"/>
    </row>
    <row r="3" spans="2:7" ht="15.75" collapsed="1" x14ac:dyDescent="0.25">
      <c r="B3" s="76"/>
      <c r="C3" s="76"/>
      <c r="D3" s="83" t="s">
        <v>181</v>
      </c>
      <c r="E3" s="83" t="s">
        <v>101</v>
      </c>
      <c r="F3" s="83" t="s">
        <v>102</v>
      </c>
      <c r="G3" s="83" t="s">
        <v>103</v>
      </c>
    </row>
    <row r="4" spans="2:7" ht="22.5" hidden="1" outlineLevel="1" x14ac:dyDescent="0.25">
      <c r="B4" s="79"/>
      <c r="C4" s="79"/>
      <c r="D4" s="73"/>
      <c r="E4" s="86" t="s">
        <v>178</v>
      </c>
      <c r="F4" s="86" t="s">
        <v>178</v>
      </c>
      <c r="G4" s="86" t="s">
        <v>178</v>
      </c>
    </row>
    <row r="5" spans="2:7" x14ac:dyDescent="0.25">
      <c r="B5" s="80" t="s">
        <v>180</v>
      </c>
      <c r="C5" s="80"/>
      <c r="D5" s="78"/>
      <c r="E5" s="78"/>
      <c r="F5" s="78"/>
      <c r="G5" s="78"/>
    </row>
    <row r="6" spans="2:7" outlineLevel="1" x14ac:dyDescent="0.25">
      <c r="B6" s="79"/>
      <c r="C6" s="79" t="s">
        <v>175</v>
      </c>
      <c r="D6" s="74">
        <v>1800000</v>
      </c>
      <c r="E6" s="84">
        <v>800000</v>
      </c>
      <c r="F6" s="84">
        <v>1200000</v>
      </c>
      <c r="G6" s="84">
        <v>1800000</v>
      </c>
    </row>
    <row r="7" spans="2:7" outlineLevel="1" x14ac:dyDescent="0.25">
      <c r="B7" s="79"/>
      <c r="C7" s="79" t="s">
        <v>176</v>
      </c>
      <c r="D7" s="74">
        <v>900000</v>
      </c>
      <c r="E7" s="84">
        <v>750000</v>
      </c>
      <c r="F7" s="84">
        <v>800000</v>
      </c>
      <c r="G7" s="84">
        <v>900000</v>
      </c>
    </row>
    <row r="8" spans="2:7" outlineLevel="1" x14ac:dyDescent="0.25">
      <c r="B8" s="79"/>
      <c r="C8" s="79" t="s">
        <v>177</v>
      </c>
      <c r="D8" s="75">
        <v>0.25</v>
      </c>
      <c r="E8" s="85">
        <v>0.3</v>
      </c>
      <c r="F8" s="85">
        <v>0.28000000000000003</v>
      </c>
      <c r="G8" s="85">
        <v>0.25</v>
      </c>
    </row>
    <row r="9" spans="2:7" x14ac:dyDescent="0.25">
      <c r="B9" s="80" t="s">
        <v>182</v>
      </c>
      <c r="C9" s="80"/>
      <c r="D9" s="78"/>
      <c r="E9" s="78"/>
      <c r="F9" s="78"/>
      <c r="G9" s="78"/>
    </row>
    <row r="10" spans="2:7" outlineLevel="1" x14ac:dyDescent="0.25">
      <c r="B10" s="79"/>
      <c r="C10" s="79" t="s">
        <v>187</v>
      </c>
      <c r="D10" s="74">
        <v>675000</v>
      </c>
      <c r="E10" s="74">
        <v>35000</v>
      </c>
      <c r="F10" s="74">
        <v>288000</v>
      </c>
      <c r="G10" s="74">
        <v>675000</v>
      </c>
    </row>
    <row r="11" spans="2:7" ht="15.75" outlineLevel="1" thickBot="1" x14ac:dyDescent="0.3">
      <c r="B11" s="81"/>
      <c r="C11" s="81" t="s">
        <v>188</v>
      </c>
      <c r="D11" s="88">
        <v>0.375</v>
      </c>
      <c r="E11" s="88">
        <v>4.3749999999999997E-2</v>
      </c>
      <c r="F11" s="88">
        <v>0.24</v>
      </c>
      <c r="G11" s="88">
        <v>0.375</v>
      </c>
    </row>
    <row r="12" spans="2:7" x14ac:dyDescent="0.25">
      <c r="B12" t="s">
        <v>183</v>
      </c>
    </row>
    <row r="13" spans="2:7" x14ac:dyDescent="0.25">
      <c r="B13" t="s">
        <v>184</v>
      </c>
    </row>
    <row r="14" spans="2:7" x14ac:dyDescent="0.25">
      <c r="B14" t="s">
        <v>185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showGridLines="0" tabSelected="1" zoomScale="83" workbookViewId="0">
      <selection activeCell="F60" sqref="F60"/>
    </sheetView>
  </sheetViews>
  <sheetFormatPr defaultColWidth="14.42578125" defaultRowHeight="15" customHeight="1" x14ac:dyDescent="0.25"/>
  <cols>
    <col min="1" max="1" width="26" customWidth="1"/>
    <col min="2" max="2" width="18" customWidth="1"/>
    <col min="3" max="3" width="11" bestFit="1" customWidth="1"/>
    <col min="4" max="4" width="26" customWidth="1"/>
    <col min="5" max="5" width="18" customWidth="1"/>
    <col min="6" max="6" width="12.28515625" bestFit="1" customWidth="1"/>
    <col min="7" max="7" width="24" customWidth="1"/>
    <col min="8" max="10" width="18" customWidth="1"/>
    <col min="11" max="26" width="8.7109375" customWidth="1"/>
  </cols>
  <sheetData>
    <row r="1" spans="1:10" ht="36" customHeight="1" x14ac:dyDescent="0.25">
      <c r="A1" s="64" t="s">
        <v>88</v>
      </c>
      <c r="B1" s="55"/>
      <c r="C1" s="55"/>
      <c r="D1" s="55"/>
      <c r="E1" s="55"/>
      <c r="F1" s="55"/>
      <c r="G1" s="55"/>
      <c r="H1" s="55"/>
      <c r="I1" s="55"/>
      <c r="J1" s="56"/>
    </row>
    <row r="2" spans="1:10" ht="21.75" customHeight="1" x14ac:dyDescent="0.25">
      <c r="A2" s="65" t="s">
        <v>89</v>
      </c>
      <c r="B2" s="55"/>
      <c r="C2" s="55"/>
      <c r="D2" s="55"/>
      <c r="E2" s="55"/>
      <c r="F2" s="55"/>
      <c r="G2" s="55"/>
      <c r="H2" s="55"/>
      <c r="I2" s="55"/>
      <c r="J2" s="56"/>
    </row>
    <row r="4" spans="1:10" ht="24" customHeight="1" x14ac:dyDescent="0.25">
      <c r="A4" s="66" t="s">
        <v>90</v>
      </c>
      <c r="B4" s="55"/>
      <c r="C4" s="55"/>
      <c r="D4" s="55"/>
      <c r="E4" s="55"/>
      <c r="F4" s="56"/>
    </row>
    <row r="5" spans="1:10" ht="21.75" customHeight="1" x14ac:dyDescent="0.25">
      <c r="A5" s="62" t="s">
        <v>91</v>
      </c>
      <c r="B5" s="56"/>
    </row>
    <row r="6" spans="1:10" ht="21.75" customHeight="1" x14ac:dyDescent="0.25">
      <c r="A6" s="19" t="s">
        <v>92</v>
      </c>
      <c r="B6" s="20">
        <v>2500000</v>
      </c>
    </row>
    <row r="7" spans="1:10" ht="21.75" customHeight="1" x14ac:dyDescent="0.25">
      <c r="A7" s="19" t="s">
        <v>93</v>
      </c>
      <c r="B7" s="20">
        <v>1000000</v>
      </c>
    </row>
    <row r="8" spans="1:10" ht="21.75" customHeight="1" x14ac:dyDescent="0.25">
      <c r="A8" s="19" t="s">
        <v>94</v>
      </c>
      <c r="B8" s="22">
        <v>0.22</v>
      </c>
    </row>
    <row r="10" spans="1:10" ht="21.75" customHeight="1" x14ac:dyDescent="0.25">
      <c r="A10" s="58" t="s">
        <v>95</v>
      </c>
      <c r="B10" s="56"/>
    </row>
    <row r="11" spans="1:10" ht="21.75" customHeight="1" x14ac:dyDescent="0.25">
      <c r="A11" s="19" t="s">
        <v>96</v>
      </c>
      <c r="B11" s="25">
        <f>B6-B7</f>
        <v>1500000</v>
      </c>
    </row>
    <row r="12" spans="1:10" ht="21.75" customHeight="1" x14ac:dyDescent="0.25">
      <c r="A12" s="19" t="s">
        <v>51</v>
      </c>
      <c r="B12" s="25">
        <f>(B6-B7)*(1-B8)</f>
        <v>1170000</v>
      </c>
    </row>
    <row r="13" spans="1:10" ht="21.75" customHeight="1" x14ac:dyDescent="0.25">
      <c r="A13" s="19" t="s">
        <v>97</v>
      </c>
      <c r="B13" s="26">
        <f>IF(B6=0,0,B12/B6)</f>
        <v>0.46800000000000003</v>
      </c>
    </row>
    <row r="14" spans="1:10" ht="21.75" customHeight="1" x14ac:dyDescent="0.25">
      <c r="A14" s="19" t="s">
        <v>98</v>
      </c>
      <c r="B14" s="26">
        <f>IF(B6=0,0,B7/B6)</f>
        <v>0.4</v>
      </c>
    </row>
    <row r="16" spans="1:10" ht="24" customHeight="1" x14ac:dyDescent="0.25">
      <c r="A16" s="59" t="s">
        <v>99</v>
      </c>
      <c r="B16" s="55"/>
      <c r="C16" s="55"/>
      <c r="D16" s="55"/>
      <c r="E16" s="55"/>
      <c r="F16" s="55"/>
      <c r="G16" s="55"/>
      <c r="H16" s="55"/>
      <c r="I16" s="55"/>
      <c r="J16" s="56"/>
    </row>
    <row r="17" spans="1:10" ht="21.75" customHeight="1" x14ac:dyDescent="0.25">
      <c r="A17" s="16"/>
      <c r="B17" s="37" t="s">
        <v>100</v>
      </c>
      <c r="C17" s="37" t="s">
        <v>101</v>
      </c>
      <c r="D17" s="37" t="s">
        <v>102</v>
      </c>
      <c r="E17" s="37" t="s">
        <v>103</v>
      </c>
      <c r="F17" s="37" t="s">
        <v>104</v>
      </c>
    </row>
    <row r="18" spans="1:10" ht="21.75" customHeight="1" x14ac:dyDescent="0.25">
      <c r="A18" s="19" t="s">
        <v>92</v>
      </c>
      <c r="B18" s="38" t="s">
        <v>105</v>
      </c>
      <c r="C18" s="39">
        <v>800000</v>
      </c>
      <c r="D18" s="40">
        <v>1200000</v>
      </c>
      <c r="E18" s="41">
        <v>1800000</v>
      </c>
      <c r="F18" s="31">
        <v>2500000</v>
      </c>
    </row>
    <row r="19" spans="1:10" ht="21.75" customHeight="1" x14ac:dyDescent="0.25">
      <c r="A19" s="19" t="s">
        <v>93</v>
      </c>
      <c r="B19" s="38" t="s">
        <v>106</v>
      </c>
      <c r="C19" s="39">
        <v>750000</v>
      </c>
      <c r="D19" s="40">
        <v>800000</v>
      </c>
      <c r="E19" s="41">
        <v>900000</v>
      </c>
      <c r="F19" s="31">
        <v>1000000</v>
      </c>
    </row>
    <row r="20" spans="1:10" ht="21.75" customHeight="1" x14ac:dyDescent="0.25">
      <c r="A20" s="19" t="s">
        <v>94</v>
      </c>
      <c r="B20" s="38" t="s">
        <v>107</v>
      </c>
      <c r="C20" s="42">
        <v>0.3</v>
      </c>
      <c r="D20" s="43">
        <v>0.28000000000000003</v>
      </c>
      <c r="E20" s="44">
        <v>0.25</v>
      </c>
      <c r="F20" s="29">
        <v>0.22</v>
      </c>
    </row>
    <row r="21" spans="1:10" ht="15.75" customHeight="1" x14ac:dyDescent="0.25"/>
    <row r="22" spans="1:10" ht="24" customHeight="1" x14ac:dyDescent="0.25">
      <c r="A22" s="60" t="s">
        <v>108</v>
      </c>
      <c r="B22" s="55"/>
      <c r="C22" s="55"/>
      <c r="D22" s="55"/>
      <c r="E22" s="55"/>
      <c r="F22" s="55"/>
      <c r="G22" s="55"/>
      <c r="H22" s="55"/>
      <c r="I22" s="55"/>
      <c r="J22" s="56"/>
    </row>
    <row r="23" spans="1:10" ht="21.75" customHeight="1" x14ac:dyDescent="0.25">
      <c r="A23" s="45" t="s">
        <v>109</v>
      </c>
      <c r="B23" s="37" t="s">
        <v>110</v>
      </c>
      <c r="C23" s="37" t="s">
        <v>101</v>
      </c>
      <c r="D23" s="37" t="s">
        <v>102</v>
      </c>
      <c r="E23" s="37" t="s">
        <v>103</v>
      </c>
      <c r="F23" s="37" t="s">
        <v>104</v>
      </c>
    </row>
    <row r="24" spans="1:10" ht="21.75" customHeight="1" x14ac:dyDescent="0.25">
      <c r="A24" s="46" t="s">
        <v>111</v>
      </c>
      <c r="B24" s="47" t="s">
        <v>51</v>
      </c>
      <c r="C24" s="48">
        <v>35000</v>
      </c>
      <c r="D24" s="49">
        <v>288000</v>
      </c>
      <c r="E24" s="50">
        <v>675000</v>
      </c>
      <c r="F24" s="51">
        <v>1170000</v>
      </c>
    </row>
    <row r="25" spans="1:10" ht="21.75" customHeight="1" x14ac:dyDescent="0.25">
      <c r="A25" s="46" t="s">
        <v>112</v>
      </c>
      <c r="B25" s="47" t="s">
        <v>97</v>
      </c>
      <c r="C25" s="48" t="s">
        <v>113</v>
      </c>
      <c r="D25" s="49" t="s">
        <v>114</v>
      </c>
      <c r="E25" s="50" t="s">
        <v>115</v>
      </c>
      <c r="F25" s="51" t="s">
        <v>116</v>
      </c>
    </row>
    <row r="26" spans="1:10" ht="21.75" customHeight="1" x14ac:dyDescent="0.25">
      <c r="A26" s="46" t="s">
        <v>117</v>
      </c>
      <c r="B26" s="47" t="s">
        <v>98</v>
      </c>
      <c r="C26" s="48" t="s">
        <v>118</v>
      </c>
      <c r="D26" s="49" t="s">
        <v>119</v>
      </c>
      <c r="E26" s="50" t="s">
        <v>120</v>
      </c>
      <c r="F26" s="51" t="s">
        <v>121</v>
      </c>
    </row>
    <row r="27" spans="1:10" ht="24" customHeight="1" x14ac:dyDescent="0.25">
      <c r="A27" s="66" t="s">
        <v>122</v>
      </c>
      <c r="B27" s="55"/>
      <c r="C27" s="55"/>
      <c r="D27" s="55"/>
      <c r="E27" s="55"/>
      <c r="F27" s="55"/>
      <c r="G27" s="55"/>
      <c r="H27" s="55"/>
      <c r="I27" s="55"/>
      <c r="J27" s="56"/>
    </row>
    <row r="28" spans="1:10" ht="30" customHeight="1" x14ac:dyDescent="0.25">
      <c r="A28" s="16" t="s">
        <v>123</v>
      </c>
      <c r="B28" s="71" t="s">
        <v>124</v>
      </c>
      <c r="C28" s="55"/>
      <c r="D28" s="55"/>
      <c r="E28" s="55"/>
      <c r="F28" s="56"/>
    </row>
    <row r="29" spans="1:10" ht="30" customHeight="1" x14ac:dyDescent="0.25">
      <c r="A29" s="16" t="s">
        <v>125</v>
      </c>
      <c r="B29" s="72" t="s">
        <v>126</v>
      </c>
      <c r="C29" s="55"/>
      <c r="D29" s="55"/>
      <c r="E29" s="55"/>
      <c r="F29" s="56"/>
    </row>
    <row r="30" spans="1:10" ht="30" customHeight="1" x14ac:dyDescent="0.25">
      <c r="A30" s="16" t="s">
        <v>127</v>
      </c>
      <c r="B30" s="71" t="s">
        <v>128</v>
      </c>
      <c r="C30" s="55"/>
      <c r="D30" s="55"/>
      <c r="E30" s="55"/>
      <c r="F30" s="56"/>
    </row>
    <row r="31" spans="1:10" ht="30" customHeight="1" x14ac:dyDescent="0.25">
      <c r="A31" s="16" t="s">
        <v>129</v>
      </c>
      <c r="B31" s="89" t="s">
        <v>130</v>
      </c>
      <c r="C31" s="55"/>
      <c r="D31" s="55"/>
      <c r="E31" s="55"/>
      <c r="F31" s="56"/>
    </row>
    <row r="32" spans="1:10" ht="30" customHeight="1" x14ac:dyDescent="0.25">
      <c r="A32" s="16" t="s">
        <v>131</v>
      </c>
      <c r="B32" s="90" t="s">
        <v>132</v>
      </c>
      <c r="C32" s="55"/>
      <c r="D32" s="55"/>
      <c r="E32" s="55"/>
      <c r="F32" s="56"/>
    </row>
    <row r="33" spans="1:10" ht="30" customHeight="1" x14ac:dyDescent="0.25">
      <c r="A33" s="16" t="s">
        <v>133</v>
      </c>
      <c r="B33" s="89" t="s">
        <v>134</v>
      </c>
      <c r="C33" s="55"/>
      <c r="D33" s="55"/>
      <c r="E33" s="55"/>
      <c r="F33" s="56"/>
    </row>
    <row r="34" spans="1:10" ht="30" customHeight="1" x14ac:dyDescent="0.25">
      <c r="A34" s="16" t="s">
        <v>135</v>
      </c>
      <c r="B34" s="71" t="s">
        <v>136</v>
      </c>
      <c r="C34" s="55"/>
      <c r="D34" s="55"/>
      <c r="E34" s="55"/>
      <c r="F34" s="56"/>
    </row>
    <row r="35" spans="1:10" ht="30" customHeight="1" x14ac:dyDescent="0.25">
      <c r="A35" s="16" t="s">
        <v>137</v>
      </c>
      <c r="B35" s="72" t="s">
        <v>138</v>
      </c>
      <c r="C35" s="55"/>
      <c r="D35" s="55"/>
      <c r="E35" s="55"/>
      <c r="F35" s="56"/>
    </row>
    <row r="36" spans="1:10" ht="30" customHeight="1" x14ac:dyDescent="0.25">
      <c r="A36" s="16" t="s">
        <v>139</v>
      </c>
      <c r="B36" s="71" t="s">
        <v>140</v>
      </c>
      <c r="C36" s="55"/>
      <c r="D36" s="55"/>
      <c r="E36" s="55"/>
      <c r="F36" s="56"/>
    </row>
    <row r="37" spans="1:10" ht="15.75" customHeight="1" x14ac:dyDescent="0.25"/>
    <row r="38" spans="1:10" ht="24" customHeight="1" x14ac:dyDescent="0.25">
      <c r="A38" s="59" t="s">
        <v>141</v>
      </c>
      <c r="B38" s="55"/>
      <c r="C38" s="55"/>
      <c r="D38" s="55"/>
      <c r="E38" s="55"/>
      <c r="F38" s="55"/>
      <c r="G38" s="55"/>
      <c r="H38" s="55"/>
      <c r="I38" s="55"/>
      <c r="J38" s="56"/>
    </row>
    <row r="39" spans="1:10" ht="27.75" customHeight="1" x14ac:dyDescent="0.25">
      <c r="A39" s="24" t="s">
        <v>142</v>
      </c>
      <c r="B39" s="54" t="s">
        <v>143</v>
      </c>
      <c r="C39" s="55"/>
      <c r="D39" s="55"/>
      <c r="E39" s="55"/>
      <c r="F39" s="56"/>
    </row>
    <row r="40" spans="1:10" ht="27.75" customHeight="1" x14ac:dyDescent="0.25">
      <c r="A40" s="24" t="s">
        <v>144</v>
      </c>
      <c r="B40" s="87" t="s">
        <v>186</v>
      </c>
      <c r="C40" s="55"/>
      <c r="D40" s="55"/>
      <c r="E40" s="55"/>
      <c r="F40" s="56"/>
    </row>
    <row r="41" spans="1:10" ht="27.75" customHeight="1" x14ac:dyDescent="0.25">
      <c r="A41" s="24" t="s">
        <v>145</v>
      </c>
      <c r="B41" s="54" t="s">
        <v>146</v>
      </c>
      <c r="C41" s="55"/>
      <c r="D41" s="55"/>
      <c r="E41" s="55"/>
      <c r="F41" s="56"/>
    </row>
    <row r="42" spans="1:10" ht="27.75" customHeight="1" x14ac:dyDescent="0.25">
      <c r="A42" s="24" t="s">
        <v>147</v>
      </c>
      <c r="B42" s="87" t="s">
        <v>189</v>
      </c>
      <c r="C42" s="55"/>
      <c r="D42" s="55"/>
      <c r="E42" s="55"/>
      <c r="F42" s="56"/>
    </row>
    <row r="43" spans="1:10" ht="27.75" customHeight="1" x14ac:dyDescent="0.25">
      <c r="A43" s="24" t="s">
        <v>148</v>
      </c>
      <c r="B43" s="87" t="s">
        <v>149</v>
      </c>
      <c r="C43" s="55"/>
      <c r="D43" s="55"/>
      <c r="E43" s="55"/>
      <c r="F43" s="56"/>
    </row>
    <row r="44" spans="1:10" ht="27.75" customHeight="1" x14ac:dyDescent="0.25">
      <c r="A44" s="24" t="s">
        <v>150</v>
      </c>
      <c r="B44" s="87" t="s">
        <v>190</v>
      </c>
      <c r="C44" s="55"/>
      <c r="D44" s="55"/>
      <c r="E44" s="55"/>
      <c r="F44" s="56"/>
    </row>
    <row r="45" spans="1:10" ht="15.75" customHeight="1" x14ac:dyDescent="0.25"/>
    <row r="46" spans="1:10" ht="30" customHeight="1" x14ac:dyDescent="0.25">
      <c r="A46" s="68" t="s">
        <v>151</v>
      </c>
      <c r="B46" s="55"/>
      <c r="C46" s="55"/>
      <c r="D46" s="55"/>
      <c r="E46" s="55"/>
      <c r="F46" s="55"/>
      <c r="G46" s="55"/>
      <c r="H46" s="55"/>
      <c r="I46" s="55"/>
      <c r="J46" s="56"/>
    </row>
    <row r="47" spans="1:10" ht="30" customHeight="1" x14ac:dyDescent="0.25">
      <c r="A47" s="57" t="s">
        <v>152</v>
      </c>
      <c r="B47" s="55"/>
      <c r="C47" s="55"/>
      <c r="D47" s="55"/>
      <c r="E47" s="55"/>
      <c r="F47" s="55"/>
      <c r="G47" s="55"/>
      <c r="H47" s="55"/>
      <c r="I47" s="55"/>
      <c r="J47" s="56"/>
    </row>
    <row r="48" spans="1:10" ht="15.75" customHeight="1" x14ac:dyDescent="0.25"/>
    <row r="49" spans="1:10" ht="24" customHeight="1" x14ac:dyDescent="0.25">
      <c r="A49" s="70" t="s">
        <v>153</v>
      </c>
      <c r="B49" s="55"/>
      <c r="C49" s="55"/>
      <c r="D49" s="55"/>
      <c r="E49" s="55"/>
      <c r="F49" s="55"/>
      <c r="G49" s="55"/>
      <c r="H49" s="55"/>
      <c r="I49" s="55"/>
      <c r="J49" s="56"/>
    </row>
    <row r="50" spans="1:10" ht="21.75" customHeight="1" x14ac:dyDescent="0.25">
      <c r="A50" s="37" t="s">
        <v>154</v>
      </c>
      <c r="B50" s="37" t="s">
        <v>155</v>
      </c>
      <c r="C50" s="37" t="s">
        <v>156</v>
      </c>
      <c r="D50" s="37" t="s">
        <v>157</v>
      </c>
      <c r="E50" s="37" t="s">
        <v>51</v>
      </c>
      <c r="F50" s="37" t="s">
        <v>158</v>
      </c>
    </row>
    <row r="51" spans="1:10" ht="21.75" customHeight="1" x14ac:dyDescent="0.25">
      <c r="A51" s="19" t="s">
        <v>101</v>
      </c>
      <c r="B51" s="52">
        <v>800000</v>
      </c>
      <c r="C51" s="52">
        <v>750000</v>
      </c>
      <c r="D51" s="53">
        <v>0.3</v>
      </c>
      <c r="E51" s="52">
        <v>35000</v>
      </c>
      <c r="F51" s="53">
        <v>4.38</v>
      </c>
    </row>
    <row r="52" spans="1:10" ht="21.75" customHeight="1" x14ac:dyDescent="0.25">
      <c r="A52" s="19" t="s">
        <v>102</v>
      </c>
      <c r="B52" s="52">
        <v>1200000</v>
      </c>
      <c r="C52" s="52">
        <v>800000</v>
      </c>
      <c r="D52" s="53">
        <v>0.28000000000000003</v>
      </c>
      <c r="E52" s="52">
        <v>288000</v>
      </c>
      <c r="F52" s="53">
        <v>0.24</v>
      </c>
    </row>
    <row r="53" spans="1:10" ht="21.75" customHeight="1" x14ac:dyDescent="0.25">
      <c r="A53" s="19" t="s">
        <v>103</v>
      </c>
      <c r="B53" s="52">
        <v>1800000</v>
      </c>
      <c r="C53" s="52">
        <v>900000</v>
      </c>
      <c r="D53" s="53">
        <v>0.25</v>
      </c>
      <c r="E53" s="52">
        <v>675000</v>
      </c>
      <c r="F53" s="53">
        <v>37.5</v>
      </c>
    </row>
    <row r="54" spans="1:10" ht="21.75" customHeight="1" x14ac:dyDescent="0.25">
      <c r="A54" s="19" t="s">
        <v>159</v>
      </c>
      <c r="B54" s="52">
        <v>2500000</v>
      </c>
      <c r="C54" s="52">
        <v>1000000</v>
      </c>
      <c r="D54" s="53">
        <v>0.2</v>
      </c>
      <c r="E54" s="52">
        <v>1170000</v>
      </c>
      <c r="F54" s="53">
        <v>46.8</v>
      </c>
    </row>
    <row r="55" spans="1:10" ht="15.75" customHeight="1" x14ac:dyDescent="0.25"/>
    <row r="56" spans="1:10" ht="15.75" customHeight="1" x14ac:dyDescent="0.25"/>
    <row r="57" spans="1:10" ht="15.75" customHeight="1" x14ac:dyDescent="0.25"/>
    <row r="58" spans="1:10" ht="15.75" customHeight="1" x14ac:dyDescent="0.25"/>
    <row r="59" spans="1:10" ht="15.75" customHeight="1" x14ac:dyDescent="0.25"/>
    <row r="60" spans="1:10" ht="15.75" customHeight="1" x14ac:dyDescent="0.25"/>
    <row r="61" spans="1:10" ht="15.75" customHeight="1" x14ac:dyDescent="0.25"/>
    <row r="62" spans="1:10" ht="15.75" customHeight="1" x14ac:dyDescent="0.25"/>
    <row r="63" spans="1:10" ht="15.75" customHeight="1" x14ac:dyDescent="0.25"/>
    <row r="64" spans="1:10"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cenarios current="3" show="3" sqref="B12:B13">
    <scenario name="Pessimistic" locked="1" count="3" user="ELCOT" comment="Created by ELCOT on 22-08-2026">
      <inputCells r="B6" val="800000" numFmtId="3"/>
      <inputCells r="B7" val="750000" numFmtId="3"/>
      <inputCells r="B8" val="0.3" numFmtId="10"/>
    </scenario>
    <scenario name="Realistic" locked="1" count="3" user="ELCOT" comment="Created by ELCOT on 22-08-2026">
      <inputCells r="B6" val="1200000" numFmtId="3"/>
      <inputCells r="B7" val="800000" numFmtId="3"/>
      <inputCells r="B8" val="0.28" numFmtId="10"/>
    </scenario>
    <scenario name="Optimistic" locked="1" count="3" user="ELCOT" comment="Created by ELCOT on 22-08-2026">
      <inputCells r="B6" val="1800000" numFmtId="3"/>
      <inputCells r="B7" val="900000" numFmtId="3"/>
      <inputCells r="B8" val="0.25" numFmtId="10"/>
    </scenario>
    <scenario name="High Growth" locked="1" count="3" user="ELCOT" comment="Created by ELCOT on 22-08-2026">
      <inputCells r="B6" val="2500000" numFmtId="3"/>
      <inputCells r="B7" val="1000000" numFmtId="3"/>
      <inputCells r="B8" val="0.22" numFmtId="10"/>
    </scenario>
  </scenarios>
  <mergeCells count="27">
    <mergeCell ref="A1:J1"/>
    <mergeCell ref="A2:J2"/>
    <mergeCell ref="A4:F4"/>
    <mergeCell ref="A5:B5"/>
    <mergeCell ref="A10:B10"/>
    <mergeCell ref="A16:J16"/>
    <mergeCell ref="A22:J22"/>
    <mergeCell ref="A27:J27"/>
    <mergeCell ref="B28:F28"/>
    <mergeCell ref="B29:F29"/>
    <mergeCell ref="B30:F30"/>
    <mergeCell ref="B31:F31"/>
    <mergeCell ref="B32:F32"/>
    <mergeCell ref="B33:F33"/>
    <mergeCell ref="B42:F42"/>
    <mergeCell ref="B34:F34"/>
    <mergeCell ref="B35:F35"/>
    <mergeCell ref="B36:F36"/>
    <mergeCell ref="A38:J38"/>
    <mergeCell ref="B39:F39"/>
    <mergeCell ref="B40:F40"/>
    <mergeCell ref="B41:F41"/>
    <mergeCell ref="B43:F43"/>
    <mergeCell ref="B44:F44"/>
    <mergeCell ref="A46:J46"/>
    <mergeCell ref="A47:J47"/>
    <mergeCell ref="A49:J49"/>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Overview</vt:lpstr>
      <vt:lpstr>WhatIf_GoalSeek</vt:lpstr>
      <vt:lpstr>DataTable</vt:lpstr>
      <vt:lpstr>Scenario Summary</vt:lpstr>
      <vt:lpstr>ScenarioMgr</vt:lpstr>
      <vt:lpstr>Costs</vt:lpstr>
      <vt:lpstr>Revenue</vt:lpstr>
      <vt:lpstr>TaxRate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Rithiha U</cp:lastModifiedBy>
  <dcterms:created xsi:type="dcterms:W3CDTF">2026-08-21T16:37:35Z</dcterms:created>
  <dcterms:modified xsi:type="dcterms:W3CDTF">2026-08-22T16:52:36Z</dcterms:modified>
</cp:coreProperties>
</file>