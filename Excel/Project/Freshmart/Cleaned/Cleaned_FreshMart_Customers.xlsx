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dipCOA\Desktop\Rithiha\Excel\Project\Freshmart\Cleaned\"/>
    </mc:Choice>
  </mc:AlternateContent>
  <xr:revisionPtr revIDLastSave="0" documentId="8_{33061CEA-14D0-4809-B157-FCB78140BB1C}" xr6:coauthVersionLast="47" xr6:coauthVersionMax="47" xr10:uidLastSave="{00000000-0000-0000-0000-000000000000}"/>
  <bookViews>
    <workbookView xWindow="-120" yWindow="-120" windowWidth="24240" windowHeight="13020" xr2:uid="{12744E2A-B81B-4B43-97B4-F1260E66F26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</calcChain>
</file>

<file path=xl/sharedStrings.xml><?xml version="1.0" encoding="utf-8"?>
<sst xmlns="http://schemas.openxmlformats.org/spreadsheetml/2006/main" count="6321" uniqueCount="2873">
  <si>
    <t>Customer_ID</t>
  </si>
  <si>
    <t>Customer_Name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</si>
  <si>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</si>
  <si>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</si>
  <si>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</si>
  <si>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</si>
  <si>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</si>
  <si>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</si>
  <si>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</si>
  <si>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</si>
  <si>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Registration_Date</t>
  </si>
  <si>
    <t>CUST0001</t>
  </si>
  <si>
    <t>Revathi Balan</t>
  </si>
  <si>
    <t>Female</t>
  </si>
  <si>
    <t>9204528821</t>
  </si>
  <si>
    <t>revathi1@gmail.com</t>
  </si>
  <si>
    <t>Coimbatore</t>
  </si>
  <si>
    <t>Tamil Nadu</t>
  </si>
  <si>
    <t>South</t>
  </si>
  <si>
    <t>Bronze</t>
  </si>
  <si>
    <t>CUST0002</t>
  </si>
  <si>
    <t>Eswari Murugan</t>
  </si>
  <si>
    <t>9362238769</t>
  </si>
  <si>
    <t>eswari2@gmail.com</t>
  </si>
  <si>
    <t>Tiruppur</t>
  </si>
  <si>
    <t>Silver</t>
  </si>
  <si>
    <t>CUST0003</t>
  </si>
  <si>
    <t>Banu Balan</t>
  </si>
  <si>
    <t>9222912620</t>
  </si>
  <si>
    <t>banu3@gmail.com</t>
  </si>
  <si>
    <t>Erode</t>
  </si>
  <si>
    <t>CUST0004</t>
  </si>
  <si>
    <t>Naveen Sharma</t>
  </si>
  <si>
    <t>Male</t>
  </si>
  <si>
    <t>9806272779</t>
  </si>
  <si>
    <t>naveen4@gmail.com</t>
  </si>
  <si>
    <t>CUST0005</t>
  </si>
  <si>
    <t>Pandi Raj</t>
  </si>
  <si>
    <t>9123876200</t>
  </si>
  <si>
    <t>pandi5@gmail.com</t>
  </si>
  <si>
    <t>Guwahati</t>
  </si>
  <si>
    <t>Assam</t>
  </si>
  <si>
    <t>East</t>
  </si>
  <si>
    <t>CUST0006</t>
  </si>
  <si>
    <t>Thiru Devi</t>
  </si>
  <si>
    <t>9967934041</t>
  </si>
  <si>
    <t>thiru6@gmail.com</t>
  </si>
  <si>
    <t>Kanpur</t>
  </si>
  <si>
    <t>Uttar Pradesh</t>
  </si>
  <si>
    <t>North</t>
  </si>
  <si>
    <t>CUST0007</t>
  </si>
  <si>
    <t>Senthil Pillai</t>
  </si>
  <si>
    <t>9464577685</t>
  </si>
  <si>
    <t>senthil7@gmail.com</t>
  </si>
  <si>
    <t>Salem</t>
  </si>
  <si>
    <t>CUST0008</t>
  </si>
  <si>
    <t>Eswari Raj</t>
  </si>
  <si>
    <t>9633597839</t>
  </si>
  <si>
    <t>eswari8@gmail.com</t>
  </si>
  <si>
    <t>CUST0009</t>
  </si>
  <si>
    <t>Mani Nair</t>
  </si>
  <si>
    <t>9408545686</t>
  </si>
  <si>
    <t>mani9@gmail.com</t>
  </si>
  <si>
    <t>Chennai</t>
  </si>
  <si>
    <t>CUST0010</t>
  </si>
  <si>
    <t>Tara Achari</t>
  </si>
  <si>
    <t>9770629385</t>
  </si>
  <si>
    <t>tara10@gmail.com</t>
  </si>
  <si>
    <t>CUST0011</t>
  </si>
  <si>
    <t xml:space="preserve">  Prasath Mudaliar  </t>
  </si>
  <si>
    <t>9735509839</t>
  </si>
  <si>
    <t>prasath11@gmail.com</t>
  </si>
  <si>
    <t>CUST0012</t>
  </si>
  <si>
    <t>Meena Gupta</t>
  </si>
  <si>
    <t>9558601461</t>
  </si>
  <si>
    <t>meena12@gmail.com</t>
  </si>
  <si>
    <t>CUST0013</t>
  </si>
  <si>
    <t>Ashok Devi</t>
  </si>
  <si>
    <t>9963424487</t>
  </si>
  <si>
    <t>ashok13@gmail.com</t>
  </si>
  <si>
    <t>CUST0014</t>
  </si>
  <si>
    <t>Ilango Varma</t>
  </si>
  <si>
    <t>9369793513</t>
  </si>
  <si>
    <t>ilango14@gmail.com</t>
  </si>
  <si>
    <t>Kochi</t>
  </si>
  <si>
    <t>Kerala</t>
  </si>
  <si>
    <t>CUST0015</t>
  </si>
  <si>
    <t>Vijay Venkataraman</t>
  </si>
  <si>
    <t>9119975163</t>
  </si>
  <si>
    <t>vijay15@gmail.com</t>
  </si>
  <si>
    <t>Mysuru</t>
  </si>
  <si>
    <t>Karnataka</t>
  </si>
  <si>
    <t>CUST0016</t>
  </si>
  <si>
    <t>Vani Pandian</t>
  </si>
  <si>
    <t>9328656334</t>
  </si>
  <si>
    <t>vani16@gmail.com</t>
  </si>
  <si>
    <t>CUST0017</t>
  </si>
  <si>
    <t>Ashok Nair</t>
  </si>
  <si>
    <t>9925835412</t>
  </si>
  <si>
    <t>ashok17@gmail.com</t>
  </si>
  <si>
    <t>CUST0018</t>
  </si>
  <si>
    <t>Kalpana Murugan</t>
  </si>
  <si>
    <t>9258638580</t>
  </si>
  <si>
    <t>kalpana18@gmail.com</t>
  </si>
  <si>
    <t>Kolkata</t>
  </si>
  <si>
    <t>West Bengal</t>
  </si>
  <si>
    <t>CUST0019</t>
  </si>
  <si>
    <t>Suresh Pandian</t>
  </si>
  <si>
    <t>9991435903</t>
  </si>
  <si>
    <t>suresh19@gmail.com</t>
  </si>
  <si>
    <t>Gld</t>
  </si>
  <si>
    <t>CUST0020</t>
  </si>
  <si>
    <t>Ilango Murugan</t>
  </si>
  <si>
    <t>9793683022</t>
  </si>
  <si>
    <t>ilango20@gmail.com</t>
  </si>
  <si>
    <t>Bhubaneswar</t>
  </si>
  <si>
    <t>Odisha</t>
  </si>
  <si>
    <t>CUST0021</t>
  </si>
  <si>
    <t>Balamurugan Rao</t>
  </si>
  <si>
    <t>9261020740</t>
  </si>
  <si>
    <t>balamurugan21@gmail.com</t>
  </si>
  <si>
    <t>Hyderabad</t>
  </si>
  <si>
    <t>Telangana</t>
  </si>
  <si>
    <t>CUST0022</t>
  </si>
  <si>
    <t>Eswari Reddy</t>
  </si>
  <si>
    <t>9621175333</t>
  </si>
  <si>
    <t>eswari22@gmail.com</t>
  </si>
  <si>
    <t>CUST0023</t>
  </si>
  <si>
    <t>Indira Nathan</t>
  </si>
  <si>
    <t>9271109874</t>
  </si>
  <si>
    <t>indira23@gmail.com</t>
  </si>
  <si>
    <t>Bengaluru</t>
  </si>
  <si>
    <t>CUST0024</t>
  </si>
  <si>
    <t>Devi Balan</t>
  </si>
  <si>
    <t>9691316191</t>
  </si>
  <si>
    <t>devi24@gmail.com</t>
  </si>
  <si>
    <t>CUST0025</t>
  </si>
  <si>
    <t>Vani Chettiar</t>
  </si>
  <si>
    <t>9159407206</t>
  </si>
  <si>
    <t>vani25@gmail.com</t>
  </si>
  <si>
    <t>CUST0026</t>
  </si>
  <si>
    <t>Raghav Nathan</t>
  </si>
  <si>
    <t>9490234548</t>
  </si>
  <si>
    <t>raghav26@gmail.com</t>
  </si>
  <si>
    <t>Ahmedabad</t>
  </si>
  <si>
    <t>Gujarat</t>
  </si>
  <si>
    <t>West</t>
  </si>
  <si>
    <t>CUST0027</t>
  </si>
  <si>
    <t>Chandran Mudaliar</t>
  </si>
  <si>
    <t>9220186460</t>
  </si>
  <si>
    <t>chandran27@gmail.com</t>
  </si>
  <si>
    <t>CUST0028</t>
  </si>
  <si>
    <t>Nithya Pillai</t>
  </si>
  <si>
    <t>9990112199</t>
  </si>
  <si>
    <t>nithya28@gmail.com</t>
  </si>
  <si>
    <t>CUST0029</t>
  </si>
  <si>
    <t>Ishwarya Krishnan</t>
  </si>
  <si>
    <t>9744053238</t>
  </si>
  <si>
    <t>ishwarya29@gmail.com</t>
  </si>
  <si>
    <t>CUST0030</t>
  </si>
  <si>
    <t>Revathi Pillai</t>
  </si>
  <si>
    <t>9965265838</t>
  </si>
  <si>
    <t>revathi30@gmail.com</t>
  </si>
  <si>
    <t>CUST0031</t>
  </si>
  <si>
    <t>Lalitha Venkataraman</t>
  </si>
  <si>
    <t>9214690674</t>
  </si>
  <si>
    <t>lalitha31@gmail.com</t>
  </si>
  <si>
    <t>CUST0032</t>
  </si>
  <si>
    <t>Nirmala Balan</t>
  </si>
  <si>
    <t>9160049440</t>
  </si>
  <si>
    <t>nirmala32@gmail.com</t>
  </si>
  <si>
    <t>CUST0033</t>
  </si>
  <si>
    <t>Nirmala Sekar</t>
  </si>
  <si>
    <t>9685989264</t>
  </si>
  <si>
    <t>nirmala33@gmail.com</t>
  </si>
  <si>
    <t>CUST0034</t>
  </si>
  <si>
    <t>Dhanush Varma</t>
  </si>
  <si>
    <t>9610265498</t>
  </si>
  <si>
    <t>dhanush34@gmail.com</t>
  </si>
  <si>
    <t>CUST0035</t>
  </si>
  <si>
    <t>Balamurugan Sharma</t>
  </si>
  <si>
    <t>9957856711</t>
  </si>
  <si>
    <t>balamurugan35@gmail.com</t>
  </si>
  <si>
    <t>Gold</t>
  </si>
  <si>
    <t>CUST0036</t>
  </si>
  <si>
    <t>Janani Balan</t>
  </si>
  <si>
    <t>9786066323</t>
  </si>
  <si>
    <t>janani36@gmail.com</t>
  </si>
  <si>
    <t>silver</t>
  </si>
  <si>
    <t>CUST0037</t>
  </si>
  <si>
    <t>Ezhil Balan</t>
  </si>
  <si>
    <t>9517117581</t>
  </si>
  <si>
    <t>ezhil37@gmail.com</t>
  </si>
  <si>
    <t>Delhi</t>
  </si>
  <si>
    <t>GOLD</t>
  </si>
  <si>
    <t>CUST0038</t>
  </si>
  <si>
    <t>Jaya Gupta</t>
  </si>
  <si>
    <t>9196905548</t>
  </si>
  <si>
    <t>jaya38@gmail.com</t>
  </si>
  <si>
    <t>CUST0039</t>
  </si>
  <si>
    <t>Anjali Krishnan</t>
  </si>
  <si>
    <t>9777909802</t>
  </si>
  <si>
    <t>anjali39@gmail.com</t>
  </si>
  <si>
    <t>CUST0040</t>
  </si>
  <si>
    <t>Karthik Menon</t>
  </si>
  <si>
    <t>9983901883</t>
  </si>
  <si>
    <t>karthik40@gmail.com</t>
  </si>
  <si>
    <t>CUST0041</t>
  </si>
  <si>
    <t>Geetha Iyer</t>
  </si>
  <si>
    <t>9870287372</t>
  </si>
  <si>
    <t>geetha41@gmail.com</t>
  </si>
  <si>
    <t>CUST0042</t>
  </si>
  <si>
    <t>Malathi Kumar</t>
  </si>
  <si>
    <t>9171261273</t>
  </si>
  <si>
    <t>malathi42@gmail.com</t>
  </si>
  <si>
    <t>Silvr</t>
  </si>
  <si>
    <t>CUST0043</t>
  </si>
  <si>
    <t>Jagan Reddy</t>
  </si>
  <si>
    <t>9586686097</t>
  </si>
  <si>
    <t>jagan43@gmail.com</t>
  </si>
  <si>
    <t>CUST0044</t>
  </si>
  <si>
    <t>Lakshmi Gounder</t>
  </si>
  <si>
    <t>9576102460</t>
  </si>
  <si>
    <t>lakshmi44@gmail.com</t>
  </si>
  <si>
    <t>CUST0045</t>
  </si>
  <si>
    <t>Thenmozhi Pandian</t>
  </si>
  <si>
    <t>9428079168</t>
  </si>
  <si>
    <t>thenmozhi45@gmail.com</t>
  </si>
  <si>
    <t>Madurai</t>
  </si>
  <si>
    <t>CUST0046</t>
  </si>
  <si>
    <t>Kishore Murugan</t>
  </si>
  <si>
    <t>9866183442</t>
  </si>
  <si>
    <t>kishore46@gmail.com</t>
  </si>
  <si>
    <t>CUST0047</t>
  </si>
  <si>
    <t>Janani Iyer</t>
  </si>
  <si>
    <t>9584783589</t>
  </si>
  <si>
    <t>janani47@gmail.com</t>
  </si>
  <si>
    <t>CUST0048</t>
  </si>
  <si>
    <t>Chandran Gupta</t>
  </si>
  <si>
    <t>9313313546</t>
  </si>
  <si>
    <t>chandran48@gmail.com</t>
  </si>
  <si>
    <t>CUST0049</t>
  </si>
  <si>
    <t>Lokesh Gupta</t>
  </si>
  <si>
    <t>9341041227</t>
  </si>
  <si>
    <t>lokesh49@gmail.com</t>
  </si>
  <si>
    <t>CUST0050</t>
  </si>
  <si>
    <t>Indira Rao</t>
  </si>
  <si>
    <t>9596524942</t>
  </si>
  <si>
    <t>indira50@gmail.com</t>
  </si>
  <si>
    <t>CUST0051</t>
  </si>
  <si>
    <t>Ovi Devi</t>
  </si>
  <si>
    <t>9379342292</t>
  </si>
  <si>
    <t>ovi51@gmail.com</t>
  </si>
  <si>
    <t>CUST0052</t>
  </si>
  <si>
    <t>Janani Selvam</t>
  </si>
  <si>
    <t>9115155764</t>
  </si>
  <si>
    <t>janani52@gmail.com</t>
  </si>
  <si>
    <t>CUST0053</t>
  </si>
  <si>
    <t>Suresh Chettiar</t>
  </si>
  <si>
    <t>9630588481</t>
  </si>
  <si>
    <t>suresh53@gmail.com</t>
  </si>
  <si>
    <t>CUST0054</t>
  </si>
  <si>
    <t>Deepak Pillai</t>
  </si>
  <si>
    <t>9901487098</t>
  </si>
  <si>
    <t>deepak54@gmail.com</t>
  </si>
  <si>
    <t>CUST0055</t>
  </si>
  <si>
    <t>Vasanth Mudaliar</t>
  </si>
  <si>
    <t>9331462865</t>
  </si>
  <si>
    <t>vasanth55@gmail.com</t>
  </si>
  <si>
    <t>CUST0056</t>
  </si>
  <si>
    <t>Nithya Prabhu</t>
  </si>
  <si>
    <t>9130894901</t>
  </si>
  <si>
    <t>nithya56@gmail.com</t>
  </si>
  <si>
    <t>Jaipur</t>
  </si>
  <si>
    <t>Rajasthan</t>
  </si>
  <si>
    <t>CUST0057</t>
  </si>
  <si>
    <t>Harini Chettiar</t>
  </si>
  <si>
    <t>9496895499</t>
  </si>
  <si>
    <t>harini57@gmail.com</t>
  </si>
  <si>
    <t>CUST0058</t>
  </si>
  <si>
    <t>Tara Devi</t>
  </si>
  <si>
    <t>9447082726</t>
  </si>
  <si>
    <t>tara58gmail.com</t>
  </si>
  <si>
    <t>CUST0059</t>
  </si>
  <si>
    <t>Banu Sharma</t>
  </si>
  <si>
    <t>9375120138</t>
  </si>
  <si>
    <t>banu59@gmail.com</t>
  </si>
  <si>
    <t>CUST0060</t>
  </si>
  <si>
    <t>Anand Subramaniam</t>
  </si>
  <si>
    <t>9605659835</t>
  </si>
  <si>
    <t>anand60@gmail.com</t>
  </si>
  <si>
    <t>CUST0061</t>
  </si>
  <si>
    <t>Deepa Sekar</t>
  </si>
  <si>
    <t>9509028714</t>
  </si>
  <si>
    <t>deepa61@gmail.com</t>
  </si>
  <si>
    <t>CUST0062</t>
  </si>
  <si>
    <t>Yazhini Varma</t>
  </si>
  <si>
    <t>9144157616</t>
  </si>
  <si>
    <t>yazhini62@gmail.com</t>
  </si>
  <si>
    <t>CUST0063</t>
  </si>
  <si>
    <t>Priya Varma</t>
  </si>
  <si>
    <t>9602602298</t>
  </si>
  <si>
    <t>priya63@gmail.com</t>
  </si>
  <si>
    <t>CUST0064</t>
  </si>
  <si>
    <t>Tara Nair</t>
  </si>
  <si>
    <t>9379608825</t>
  </si>
  <si>
    <t>tara64@gmail.com</t>
  </si>
  <si>
    <t>CUST0065</t>
  </si>
  <si>
    <t>Karthik Sharma</t>
  </si>
  <si>
    <t>9902969226</t>
  </si>
  <si>
    <t>karthik65@gmail.com</t>
  </si>
  <si>
    <t>CUST0066</t>
  </si>
  <si>
    <t>Bhavani Sharma</t>
  </si>
  <si>
    <t>9990764598</t>
  </si>
  <si>
    <t>bhavani66@gmail.com</t>
  </si>
  <si>
    <t>CUST0067</t>
  </si>
  <si>
    <t>9438811626</t>
  </si>
  <si>
    <t>hema67@gmail.com</t>
  </si>
  <si>
    <t>CUST0068</t>
  </si>
  <si>
    <t>Balamurugan Krishnan</t>
  </si>
  <si>
    <t>9805898786</t>
  </si>
  <si>
    <t>balamurugan68@gmail.com</t>
  </si>
  <si>
    <t>CUST0069</t>
  </si>
  <si>
    <t>Aishwarya Prabhu</t>
  </si>
  <si>
    <t>9346810881</t>
  </si>
  <si>
    <t>aishwarya69@gmail.com</t>
  </si>
  <si>
    <t>CUST0070</t>
  </si>
  <si>
    <t>Kavya Rao</t>
  </si>
  <si>
    <t>9224579869</t>
  </si>
  <si>
    <t>kavya70@gmail.com</t>
  </si>
  <si>
    <t>CUST0071</t>
  </si>
  <si>
    <t>Venkat Iyer</t>
  </si>
  <si>
    <t>9591515743</t>
  </si>
  <si>
    <t>venkat71@gmail.com</t>
  </si>
  <si>
    <t>CUST0072</t>
  </si>
  <si>
    <t>Vijay Chandran</t>
  </si>
  <si>
    <t>9405067716</t>
  </si>
  <si>
    <t>vijay72@gmail.com</t>
  </si>
  <si>
    <t>CUST0073</t>
  </si>
  <si>
    <t>Meena Balan</t>
  </si>
  <si>
    <t>9812038659</t>
  </si>
  <si>
    <t>meena73@gmail.com</t>
  </si>
  <si>
    <t>CUST0074</t>
  </si>
  <si>
    <t>Vijay Krishnan</t>
  </si>
  <si>
    <t>9923396372</t>
  </si>
  <si>
    <t>vijay74@gmail.com</t>
  </si>
  <si>
    <t>CUST0075</t>
  </si>
  <si>
    <t>Banu Mudaliar</t>
  </si>
  <si>
    <t>9826824988</t>
  </si>
  <si>
    <t>banu75@gmail.com</t>
  </si>
  <si>
    <t>CUST0076</t>
  </si>
  <si>
    <t>Senthil Chandran</t>
  </si>
  <si>
    <t>9501105178</t>
  </si>
  <si>
    <t>senthil76@gmail.com</t>
  </si>
  <si>
    <t>CUST0077</t>
  </si>
  <si>
    <t>Dhanya Krishnan</t>
  </si>
  <si>
    <t>9187040987</t>
  </si>
  <si>
    <t>dhanya77@gmail.com</t>
  </si>
  <si>
    <t>CUST0078</t>
  </si>
  <si>
    <t>Eswari Balan</t>
  </si>
  <si>
    <t>9806528895</t>
  </si>
  <si>
    <t>eswari78@gmail.com</t>
  </si>
  <si>
    <t>CUST0079</t>
  </si>
  <si>
    <t>Yazhini Murugan</t>
  </si>
  <si>
    <t>9885490692</t>
  </si>
  <si>
    <t>yazhini79@gmail.com</t>
  </si>
  <si>
    <t>CUST0080</t>
  </si>
  <si>
    <t>Suresh Naidu</t>
  </si>
  <si>
    <t>9403819555</t>
  </si>
  <si>
    <t>suresh80@gmail.com</t>
  </si>
  <si>
    <t>CUST0081</t>
  </si>
  <si>
    <t>Nirmala Achari</t>
  </si>
  <si>
    <t>9509515396</t>
  </si>
  <si>
    <t>nirmala81@gmail.com</t>
  </si>
  <si>
    <t>CUST0082</t>
  </si>
  <si>
    <t>Kavya Raj</t>
  </si>
  <si>
    <t>9122024627</t>
  </si>
  <si>
    <t>kavya82gmail.com</t>
  </si>
  <si>
    <t>CUST0083</t>
  </si>
  <si>
    <t>Yamuna Gupta</t>
  </si>
  <si>
    <t>9908053607</t>
  </si>
  <si>
    <t>yamuna83@gmail.com</t>
  </si>
  <si>
    <t>Surat</t>
  </si>
  <si>
    <t>CUST0084</t>
  </si>
  <si>
    <t>Pandi Gupta</t>
  </si>
  <si>
    <t>9835472281</t>
  </si>
  <si>
    <t>pandi84@gmail.com</t>
  </si>
  <si>
    <t>Mumbai</t>
  </si>
  <si>
    <t>Maharashtra</t>
  </si>
  <si>
    <t>CUST0085</t>
  </si>
  <si>
    <t>Sundar Prabhu</t>
  </si>
  <si>
    <t>9314610134</t>
  </si>
  <si>
    <t>sundar85@gmail.com</t>
  </si>
  <si>
    <t>CUST0086</t>
  </si>
  <si>
    <t>Anjali Prabhu</t>
  </si>
  <si>
    <t>9554268579</t>
  </si>
  <si>
    <t>anjali86@gmail.com</t>
  </si>
  <si>
    <t>CUST0087</t>
  </si>
  <si>
    <t>Karthik Selvam</t>
  </si>
  <si>
    <t>9777194209</t>
  </si>
  <si>
    <t>karthik87@gmail.com</t>
  </si>
  <si>
    <t>CUST0088</t>
  </si>
  <si>
    <t>Eswari Achari</t>
  </si>
  <si>
    <t>9340765354</t>
  </si>
  <si>
    <t>eswari88@gmail.com</t>
  </si>
  <si>
    <t>CUST0089</t>
  </si>
  <si>
    <t>Dhanush Chettiar</t>
  </si>
  <si>
    <t>9794952969</t>
  </si>
  <si>
    <t>dhanush89@gmail.com</t>
  </si>
  <si>
    <t>CUST0090</t>
  </si>
  <si>
    <t>Deepa Chettiar</t>
  </si>
  <si>
    <t>9422544807</t>
  </si>
  <si>
    <t>deepa90@gmail.com</t>
  </si>
  <si>
    <t>CUST0091</t>
  </si>
  <si>
    <t>Prasath Selvam</t>
  </si>
  <si>
    <t>9661665819</t>
  </si>
  <si>
    <t>prasath91@gmail.com</t>
  </si>
  <si>
    <t>CUST0092</t>
  </si>
  <si>
    <t>Naveen Kumar</t>
  </si>
  <si>
    <t>9651274642</t>
  </si>
  <si>
    <t>naveen92@gmail.com</t>
  </si>
  <si>
    <t>CUST0093</t>
  </si>
  <si>
    <t>Prakash Menon</t>
  </si>
  <si>
    <t>9873426975</t>
  </si>
  <si>
    <t>prakash93@gmail.com</t>
  </si>
  <si>
    <t>CUST0094</t>
  </si>
  <si>
    <t>Sathish Sharma</t>
  </si>
  <si>
    <t>9925328186</t>
  </si>
  <si>
    <t>sathish94@gmail.com</t>
  </si>
  <si>
    <t>CUST0095</t>
  </si>
  <si>
    <t>Jayakumar Reddy</t>
  </si>
  <si>
    <t>9944151226</t>
  </si>
  <si>
    <t>jayakumar95@gmail.com</t>
  </si>
  <si>
    <t>CUST0096</t>
  </si>
  <si>
    <t>Hariharan Gounder</t>
  </si>
  <si>
    <t>9419596584</t>
  </si>
  <si>
    <t>hariharan96@gmail.com</t>
  </si>
  <si>
    <t>CUST0097</t>
  </si>
  <si>
    <t>Deepak Prabhu</t>
  </si>
  <si>
    <t>9967405227</t>
  </si>
  <si>
    <t>deepak97@gmail.com</t>
  </si>
  <si>
    <t>CUST0098</t>
  </si>
  <si>
    <t>Bhavani Mudaliar</t>
  </si>
  <si>
    <t>9378440227</t>
  </si>
  <si>
    <t>bhavani98@gmail.com</t>
  </si>
  <si>
    <t>CUST0099</t>
  </si>
  <si>
    <t>Lakshmi Krishnan</t>
  </si>
  <si>
    <t>9225282335</t>
  </si>
  <si>
    <t>lakshmi99@gmail.com</t>
  </si>
  <si>
    <t>CUST0100</t>
  </si>
  <si>
    <t>Revathi Murugan</t>
  </si>
  <si>
    <t>9899128948</t>
  </si>
  <si>
    <t>revathi100@gmail.com</t>
  </si>
  <si>
    <t>CUST0101</t>
  </si>
  <si>
    <t>Dinesh Nair</t>
  </si>
  <si>
    <t>9823490609</t>
  </si>
  <si>
    <t>dinesh101@gmail.com</t>
  </si>
  <si>
    <t>CUST0102</t>
  </si>
  <si>
    <t>Vasanth Prabhu</t>
  </si>
  <si>
    <t>9245077501</t>
  </si>
  <si>
    <t>vasanth102@gmail.com</t>
  </si>
  <si>
    <t>CUST0103</t>
  </si>
  <si>
    <t>Chandran Varma</t>
  </si>
  <si>
    <t>9324658446</t>
  </si>
  <si>
    <t>chandran103@gmail.com</t>
  </si>
  <si>
    <t>CUST0104</t>
  </si>
  <si>
    <t>Divya Krishnan</t>
  </si>
  <si>
    <t>9948268430</t>
  </si>
  <si>
    <t>divya104@gmail.com</t>
  </si>
  <si>
    <t>CUST0105</t>
  </si>
  <si>
    <t>Revathi Sekar</t>
  </si>
  <si>
    <t>9608941911</t>
  </si>
  <si>
    <t>revathi105@gmail.com</t>
  </si>
  <si>
    <t>CUST0106</t>
  </si>
  <si>
    <t>Sangeetha Sekar</t>
  </si>
  <si>
    <t>9578100665</t>
  </si>
  <si>
    <t>sangeetha106@gmail.com</t>
  </si>
  <si>
    <t>CUST0107</t>
  </si>
  <si>
    <t>Naveen Sekar</t>
  </si>
  <si>
    <t>9316185483</t>
  </si>
  <si>
    <t>naveen107@gmail.com</t>
  </si>
  <si>
    <t>CUST0108</t>
  </si>
  <si>
    <t>Tara Rao</t>
  </si>
  <si>
    <t>9776897455</t>
  </si>
  <si>
    <t>tara108@gmail.com</t>
  </si>
  <si>
    <t>CUST0109</t>
  </si>
  <si>
    <t>Esha Mudaliar</t>
  </si>
  <si>
    <t>9739777846</t>
  </si>
  <si>
    <t>esha109@gmail.com</t>
  </si>
  <si>
    <t>CUST0110</t>
  </si>
  <si>
    <t>Pandi Chandran</t>
  </si>
  <si>
    <t>9651211504</t>
  </si>
  <si>
    <t>pandi110@gmail.com</t>
  </si>
  <si>
    <t>CUST0111</t>
  </si>
  <si>
    <t>Hemalatha Devi</t>
  </si>
  <si>
    <t>9866963403</t>
  </si>
  <si>
    <t>hemalatha111@gmail.com</t>
  </si>
  <si>
    <t>CUST0112</t>
  </si>
  <si>
    <t xml:space="preserve">  Gokul Venkataraman  </t>
  </si>
  <si>
    <t>9168193955</t>
  </si>
  <si>
    <t>gokul112@gmail.com</t>
  </si>
  <si>
    <t>CUST0113</t>
  </si>
  <si>
    <t>Usha Kumar</t>
  </si>
  <si>
    <t>9768615479</t>
  </si>
  <si>
    <t>usha113@gmail.com</t>
  </si>
  <si>
    <t>CUST0114</t>
  </si>
  <si>
    <t>Hariharan Menon</t>
  </si>
  <si>
    <t>9409249220</t>
  </si>
  <si>
    <t>hariharan114@gmail.com</t>
  </si>
  <si>
    <t>Chandigarh</t>
  </si>
  <si>
    <t>Punjab</t>
  </si>
  <si>
    <t>CUST0115</t>
  </si>
  <si>
    <t>Venkat Chettiar</t>
  </si>
  <si>
    <t>9335903593</t>
  </si>
  <si>
    <t>venkat115@gmail.com</t>
  </si>
  <si>
    <t>CUST0116</t>
  </si>
  <si>
    <t>Sundar Achari</t>
  </si>
  <si>
    <t>9415029454</t>
  </si>
  <si>
    <t>sundar116@gmail.com</t>
  </si>
  <si>
    <t>CUST0117</t>
  </si>
  <si>
    <t>Raghav Menon</t>
  </si>
  <si>
    <t>9958730450</t>
  </si>
  <si>
    <t>raghav117@gmail.com</t>
  </si>
  <si>
    <t>CUST0118</t>
  </si>
  <si>
    <t>Gokul Naidu</t>
  </si>
  <si>
    <t>9618498938</t>
  </si>
  <si>
    <t>gokul118@gmail.com</t>
  </si>
  <si>
    <t>Nagpur</t>
  </si>
  <si>
    <t>CUST0119</t>
  </si>
  <si>
    <t>Nandhini Naidu</t>
  </si>
  <si>
    <t>9951995296</t>
  </si>
  <si>
    <t>nandhini119@gmail.com</t>
  </si>
  <si>
    <t>CUST0120</t>
  </si>
  <si>
    <t>Lakshmi Balan</t>
  </si>
  <si>
    <t>9150518836</t>
  </si>
  <si>
    <t>lakshmi120gmail.com</t>
  </si>
  <si>
    <t>CUST0121</t>
  </si>
  <si>
    <t>Venkat Achari</t>
  </si>
  <si>
    <t>9989003129</t>
  </si>
  <si>
    <t>venkat121@gmail.com</t>
  </si>
  <si>
    <t>Lucknow</t>
  </si>
  <si>
    <t>CUST0122</t>
  </si>
  <si>
    <t>Sudha Prabhu</t>
  </si>
  <si>
    <t>9222373596</t>
  </si>
  <si>
    <t>sudha122@gmail.com</t>
  </si>
  <si>
    <t>CUST0123</t>
  </si>
  <si>
    <t>Sudha Rao</t>
  </si>
  <si>
    <t>9465420342</t>
  </si>
  <si>
    <t>sudha123@gmail.com</t>
  </si>
  <si>
    <t>CUST0124</t>
  </si>
  <si>
    <t>Manoj Iyer</t>
  </si>
  <si>
    <t>9262326542</t>
  </si>
  <si>
    <t>manoj124@gmail.com</t>
  </si>
  <si>
    <t>CUST0125</t>
  </si>
  <si>
    <t>Ovi Selvam</t>
  </si>
  <si>
    <t>9911495781</t>
  </si>
  <si>
    <t>ovi125@gmail.com</t>
  </si>
  <si>
    <t>CUST0126</t>
  </si>
  <si>
    <t>Anjali Balan</t>
  </si>
  <si>
    <t>9145064341</t>
  </si>
  <si>
    <t>anjali126@gmail.com</t>
  </si>
  <si>
    <t>CUST0127</t>
  </si>
  <si>
    <t>Sanjay Iyer</t>
  </si>
  <si>
    <t>9268612410</t>
  </si>
  <si>
    <t>sanjay127@gmail.com</t>
  </si>
  <si>
    <t>CUST0128</t>
  </si>
  <si>
    <t>Sudha Naicker</t>
  </si>
  <si>
    <t>9265673777</t>
  </si>
  <si>
    <t>sudha128@gmail.com</t>
  </si>
  <si>
    <t>CUST0129</t>
  </si>
  <si>
    <t>Senthil Menon</t>
  </si>
  <si>
    <t>9571489117</t>
  </si>
  <si>
    <t>senthil129@gmail.com</t>
  </si>
  <si>
    <t>CUST0130</t>
  </si>
  <si>
    <t>Geetha Selvam</t>
  </si>
  <si>
    <t>9407904380</t>
  </si>
  <si>
    <t>geetha130@gmail.com</t>
  </si>
  <si>
    <t>Pune</t>
  </si>
  <si>
    <t>CUST0131</t>
  </si>
  <si>
    <t>Ezhil Iyer</t>
  </si>
  <si>
    <t>9775856484</t>
  </si>
  <si>
    <t>ezhil131@gmail.com</t>
  </si>
  <si>
    <t>CUST0132</t>
  </si>
  <si>
    <t>Suresh Balan</t>
  </si>
  <si>
    <t>9945266468</t>
  </si>
  <si>
    <t>suresh132@gmail.com</t>
  </si>
  <si>
    <t>CUST0133</t>
  </si>
  <si>
    <t>Vasanthi Raj</t>
  </si>
  <si>
    <t>9654217523</t>
  </si>
  <si>
    <t>vasanthi133@gmail.com</t>
  </si>
  <si>
    <t>CUST0134</t>
  </si>
  <si>
    <t>Balaji Chettiar</t>
  </si>
  <si>
    <t>9926944269</t>
  </si>
  <si>
    <t>balaji134@gmail.com</t>
  </si>
  <si>
    <t>CUST0135</t>
  </si>
  <si>
    <t>Pandi Velan</t>
  </si>
  <si>
    <t>9438018832</t>
  </si>
  <si>
    <t>pandi135@gmail.com</t>
  </si>
  <si>
    <t>CUST0136</t>
  </si>
  <si>
    <t>Vani Menon</t>
  </si>
  <si>
    <t>9808858764</t>
  </si>
  <si>
    <t>vani136@gmail.com</t>
  </si>
  <si>
    <t>CUST0137</t>
  </si>
  <si>
    <t>Raghav Selvam</t>
  </si>
  <si>
    <t>9550225634</t>
  </si>
  <si>
    <t>raghav137@gmail.com</t>
  </si>
  <si>
    <t>CUST0138</t>
  </si>
  <si>
    <t>Bhavani Gounder</t>
  </si>
  <si>
    <t>9108484954</t>
  </si>
  <si>
    <t>bhavani138@gmail.com</t>
  </si>
  <si>
    <t>CUST0139</t>
  </si>
  <si>
    <t>Prasath Prabhu</t>
  </si>
  <si>
    <t>9533725200</t>
  </si>
  <si>
    <t>prasath139@gmail.com</t>
  </si>
  <si>
    <t>CUST0140</t>
  </si>
  <si>
    <t>Manoj Prabhu</t>
  </si>
  <si>
    <t>9470710020</t>
  </si>
  <si>
    <t>manoj140@gmail.com</t>
  </si>
  <si>
    <t>CUST0141</t>
  </si>
  <si>
    <t>Jagan Rao</t>
  </si>
  <si>
    <t>9139696423</t>
  </si>
  <si>
    <t>jagan141@gmail.com</t>
  </si>
  <si>
    <t>CUST0142</t>
  </si>
  <si>
    <t>Radha Devi</t>
  </si>
  <si>
    <t>9680669084</t>
  </si>
  <si>
    <t>radha142@gmail.com</t>
  </si>
  <si>
    <t>CUST0143</t>
  </si>
  <si>
    <t>Charulatha Iyer</t>
  </si>
  <si>
    <t>9465833373</t>
  </si>
  <si>
    <t>charulatha143@gmail.com</t>
  </si>
  <si>
    <t>CUST0144</t>
  </si>
  <si>
    <t>Lalitha Chandran</t>
  </si>
  <si>
    <t>9377766466</t>
  </si>
  <si>
    <t>lalitha144@gmail.com</t>
  </si>
  <si>
    <t>CUST0145</t>
  </si>
  <si>
    <t>Sangeetha Pillai</t>
  </si>
  <si>
    <t>9885964167</t>
  </si>
  <si>
    <t>sangeetha145@gmail.com</t>
  </si>
  <si>
    <t>CUST0146</t>
  </si>
  <si>
    <t>Dhanya Chandran</t>
  </si>
  <si>
    <t>9232943217</t>
  </si>
  <si>
    <t>dhanya146@gmail.com</t>
  </si>
  <si>
    <t>CUST0147</t>
  </si>
  <si>
    <t>Hari Rao</t>
  </si>
  <si>
    <t>9586563056</t>
  </si>
  <si>
    <t>hari147@gmail.com</t>
  </si>
  <si>
    <t>CUST0148</t>
  </si>
  <si>
    <t>Dhanush Kumar</t>
  </si>
  <si>
    <t>9867346496</t>
  </si>
  <si>
    <t>dhanush148@gmail.com</t>
  </si>
  <si>
    <t>CUST0149</t>
  </si>
  <si>
    <t>Vani Rao</t>
  </si>
  <si>
    <t>9942661053</t>
  </si>
  <si>
    <t>vani149@gmail.com</t>
  </si>
  <si>
    <t>CUST0150</t>
  </si>
  <si>
    <t>Eswari Gounder</t>
  </si>
  <si>
    <t>9891897827</t>
  </si>
  <si>
    <t>eswari150@gmail.com</t>
  </si>
  <si>
    <t>CUST0151</t>
  </si>
  <si>
    <t>Gopal Selvam</t>
  </si>
  <si>
    <t>9587811213</t>
  </si>
  <si>
    <t>gopal151@gmail.com</t>
  </si>
  <si>
    <t>CUST0152</t>
  </si>
  <si>
    <t>Anjali Sekar</t>
  </si>
  <si>
    <t>9166779947</t>
  </si>
  <si>
    <t>anjali152@gmail.com</t>
  </si>
  <si>
    <t>CUST0153</t>
  </si>
  <si>
    <t>Thenmozhi Sharma</t>
  </si>
  <si>
    <t>9496526646</t>
  </si>
  <si>
    <t>thenmozhi153@gmail.com</t>
  </si>
  <si>
    <t>CUST0154</t>
  </si>
  <si>
    <t>Indira Subramaniam</t>
  </si>
  <si>
    <t>9383138961</t>
  </si>
  <si>
    <t>indira154@gmail.com</t>
  </si>
  <si>
    <t>CUST0155</t>
  </si>
  <si>
    <t>Karthik Prabhu</t>
  </si>
  <si>
    <t>9984561220</t>
  </si>
  <si>
    <t>karthik155@gmail.com</t>
  </si>
  <si>
    <t>CUST0156</t>
  </si>
  <si>
    <t>Tara Chettiar</t>
  </si>
  <si>
    <t>9856477620</t>
  </si>
  <si>
    <t>tara156@gmail.com</t>
  </si>
  <si>
    <t>CUST0157</t>
  </si>
  <si>
    <t>Prasath Chettiar</t>
  </si>
  <si>
    <t>9608261670</t>
  </si>
  <si>
    <t>prasath157@gmail.com</t>
  </si>
  <si>
    <t>CUST0158</t>
  </si>
  <si>
    <t>Hemalatha Murugan</t>
  </si>
  <si>
    <t>9745963305</t>
  </si>
  <si>
    <t>hemalatha158@gmail.com</t>
  </si>
  <si>
    <t>CUST0159</t>
  </si>
  <si>
    <t>Usha Naicker</t>
  </si>
  <si>
    <t>9661328067</t>
  </si>
  <si>
    <t>usha159@gmail.com</t>
  </si>
  <si>
    <t>CUST0160</t>
  </si>
  <si>
    <t>Mani Venkataraman</t>
  </si>
  <si>
    <t>9415660014</t>
  </si>
  <si>
    <t>mani160@gmail.com</t>
  </si>
  <si>
    <t>CUST0161</t>
  </si>
  <si>
    <t>Karthik Velan</t>
  </si>
  <si>
    <t>9152238662</t>
  </si>
  <si>
    <t>karthik161@gmail.com</t>
  </si>
  <si>
    <t>CUST0162</t>
  </si>
  <si>
    <t>Geetha Balan</t>
  </si>
  <si>
    <t>9231348586</t>
  </si>
  <si>
    <t>geetha162@gmail.com</t>
  </si>
  <si>
    <t>CUST0163</t>
  </si>
  <si>
    <t>Chandrasekar Nair</t>
  </si>
  <si>
    <t>9715317515</t>
  </si>
  <si>
    <t>chandrasekar163@gmail.com</t>
  </si>
  <si>
    <t>CUST0164</t>
  </si>
  <si>
    <t>Geetha Gounder</t>
  </si>
  <si>
    <t>9995994586</t>
  </si>
  <si>
    <t>geetha164@gmail.com</t>
  </si>
  <si>
    <t>CUST0165</t>
  </si>
  <si>
    <t>Meena Reddy</t>
  </si>
  <si>
    <t>9783394004</t>
  </si>
  <si>
    <t>meena165@gmail.com</t>
  </si>
  <si>
    <t>CUST0166</t>
  </si>
  <si>
    <t>Venkat Velan</t>
  </si>
  <si>
    <t>9449198328</t>
  </si>
  <si>
    <t>venkat166@gmail.com</t>
  </si>
  <si>
    <t>CUST0167</t>
  </si>
  <si>
    <t>Naveen Venkataraman</t>
  </si>
  <si>
    <t>9349991019</t>
  </si>
  <si>
    <t>naveen167@gmail.com</t>
  </si>
  <si>
    <t>CUST0168</t>
  </si>
  <si>
    <t>Naveen Prabhu</t>
  </si>
  <si>
    <t>9793547595</t>
  </si>
  <si>
    <t>naveen168@gmail.com</t>
  </si>
  <si>
    <t>CUST0169</t>
  </si>
  <si>
    <t>Thenmozhi Murugan</t>
  </si>
  <si>
    <t>9954868983</t>
  </si>
  <si>
    <t>thenmozhi169@gmail.com</t>
  </si>
  <si>
    <t>CUST0170</t>
  </si>
  <si>
    <t>Bhuvana Pandian</t>
  </si>
  <si>
    <t>9700600523</t>
  </si>
  <si>
    <t>bhuvana170@gmail.com</t>
  </si>
  <si>
    <t>CUST0171</t>
  </si>
  <si>
    <t>Kavya Chettiar</t>
  </si>
  <si>
    <t>9660228870</t>
  </si>
  <si>
    <t>kavya171@gmail.com</t>
  </si>
  <si>
    <t>CUST0172</t>
  </si>
  <si>
    <t>Devi Gounder</t>
  </si>
  <si>
    <t>9806795289</t>
  </si>
  <si>
    <t>devi172@gmail.com</t>
  </si>
  <si>
    <t>CUST0173</t>
  </si>
  <si>
    <t>Thenmozhi Balan</t>
  </si>
  <si>
    <t>9990873441</t>
  </si>
  <si>
    <t>thenmozhi173@gmail.com</t>
  </si>
  <si>
    <t>CUST0174</t>
  </si>
  <si>
    <t>Yogesh Sharma</t>
  </si>
  <si>
    <t>9444060339</t>
  </si>
  <si>
    <t>yogesh174@gmail.com</t>
  </si>
  <si>
    <t>CUST0175</t>
  </si>
  <si>
    <t xml:space="preserve">  Gopal Venkataraman  </t>
  </si>
  <si>
    <t>9569243880</t>
  </si>
  <si>
    <t>gopal175@gmail.com</t>
  </si>
  <si>
    <t>CUST0176</t>
  </si>
  <si>
    <t>Usha Velan</t>
  </si>
  <si>
    <t>9376142554</t>
  </si>
  <si>
    <t>usha176@gmail.com</t>
  </si>
  <si>
    <t>CUST0177</t>
  </si>
  <si>
    <t>Chandran Devi</t>
  </si>
  <si>
    <t>9296139268</t>
  </si>
  <si>
    <t>chandran177@gmail.com</t>
  </si>
  <si>
    <t>CUST0178</t>
  </si>
  <si>
    <t>Vasanth Varma</t>
  </si>
  <si>
    <t>9281667509</t>
  </si>
  <si>
    <t>vasanth178@gmail.com</t>
  </si>
  <si>
    <t>CUST0179</t>
  </si>
  <si>
    <t>Chitra Mudaliar</t>
  </si>
  <si>
    <t>9518694576</t>
  </si>
  <si>
    <t>chitra179@gmail.com</t>
  </si>
  <si>
    <t>CUST0180</t>
  </si>
  <si>
    <t>Nandhini Gupta</t>
  </si>
  <si>
    <t>9503204182</t>
  </si>
  <si>
    <t>nandhini180@gmail.com</t>
  </si>
  <si>
    <t>CUST0181</t>
  </si>
  <si>
    <t>Ashok Krishnan</t>
  </si>
  <si>
    <t>9629332643</t>
  </si>
  <si>
    <t>ashok181@gmail.com</t>
  </si>
  <si>
    <t>CUST0182</t>
  </si>
  <si>
    <t>Esha Prabhu</t>
  </si>
  <si>
    <t>9165103088</t>
  </si>
  <si>
    <t>esha182@gmail.com</t>
  </si>
  <si>
    <t>CUST0183</t>
  </si>
  <si>
    <t>Tara Balan</t>
  </si>
  <si>
    <t>9537543120</t>
  </si>
  <si>
    <t>tara183@gmail.com</t>
  </si>
  <si>
    <t>CUST0184</t>
  </si>
  <si>
    <t>Ezhil Pillai</t>
  </si>
  <si>
    <t>9208994910</t>
  </si>
  <si>
    <t>ezhil184@gmail.com</t>
  </si>
  <si>
    <t>CUST0185</t>
  </si>
  <si>
    <t>Janani Sekar</t>
  </si>
  <si>
    <t>9710149111</t>
  </si>
  <si>
    <t>janani185@gmail.com</t>
  </si>
  <si>
    <t>CUST0186</t>
  </si>
  <si>
    <t>Bhavani Pillai</t>
  </si>
  <si>
    <t>9940612700</t>
  </si>
  <si>
    <t>bhavani186@gmail.com</t>
  </si>
  <si>
    <t>CUST0187</t>
  </si>
  <si>
    <t>Ezhil Venkataraman</t>
  </si>
  <si>
    <t>9555000733</t>
  </si>
  <si>
    <t>ezhil187@gmail.com</t>
  </si>
  <si>
    <t>CUST0188</t>
  </si>
  <si>
    <t>Gopal Raj</t>
  </si>
  <si>
    <t>9410579235</t>
  </si>
  <si>
    <t>gopal188@gmail.com</t>
  </si>
  <si>
    <t>CUST0189</t>
  </si>
  <si>
    <t>9741955612</t>
  </si>
  <si>
    <t>eswari189@gmail.com</t>
  </si>
  <si>
    <t>CUST0190</t>
  </si>
  <si>
    <t>Jaya Kumar</t>
  </si>
  <si>
    <t>9647960971</t>
  </si>
  <si>
    <t>jaya190@gmail.com</t>
  </si>
  <si>
    <t>CUST0191</t>
  </si>
  <si>
    <t>Elango Balan</t>
  </si>
  <si>
    <t>9422807973</t>
  </si>
  <si>
    <t>elango191@gmail.com</t>
  </si>
  <si>
    <t>CUST0192</t>
  </si>
  <si>
    <t>Lalitha Velan</t>
  </si>
  <si>
    <t>9563816134</t>
  </si>
  <si>
    <t>lalitha192@gmail.com</t>
  </si>
  <si>
    <t>CUST0193</t>
  </si>
  <si>
    <t>Ilango Nathan</t>
  </si>
  <si>
    <t>9467901802</t>
  </si>
  <si>
    <t>ilango193@gmail.com</t>
  </si>
  <si>
    <t>CUST0194</t>
  </si>
  <si>
    <t>Bhuvana Subramaniam</t>
  </si>
  <si>
    <t>9326155683</t>
  </si>
  <si>
    <t>bhuvana194@gmail.com</t>
  </si>
  <si>
    <t>CUST0195</t>
  </si>
  <si>
    <t>Om Prabhu</t>
  </si>
  <si>
    <t>9102198503</t>
  </si>
  <si>
    <t>om195@gmail.com</t>
  </si>
  <si>
    <t>CUST0196</t>
  </si>
  <si>
    <t>Kishore Naidu</t>
  </si>
  <si>
    <t>9696775664</t>
  </si>
  <si>
    <t>kishore196@gmail.com</t>
  </si>
  <si>
    <t>CUST0197</t>
  </si>
  <si>
    <t>Ishwarya Pandian</t>
  </si>
  <si>
    <t>9945362558</t>
  </si>
  <si>
    <t>ishwarya197@gmail.com</t>
  </si>
  <si>
    <t>CUST0198</t>
  </si>
  <si>
    <t>Meena Pillai</t>
  </si>
  <si>
    <t>9232516483</t>
  </si>
  <si>
    <t>meena198@gmail.com</t>
  </si>
  <si>
    <t>CUST0199</t>
  </si>
  <si>
    <t>Sanjay Gupta</t>
  </si>
  <si>
    <t>9290252696</t>
  </si>
  <si>
    <t>sanjay199@gmail.com</t>
  </si>
  <si>
    <t>CUST0200</t>
  </si>
  <si>
    <t>Karthik Achari</t>
  </si>
  <si>
    <t>9577361628</t>
  </si>
  <si>
    <t>karthik200@gmail.com</t>
  </si>
  <si>
    <t>CUST0201</t>
  </si>
  <si>
    <t>Lalitha Menon</t>
  </si>
  <si>
    <t>9196600815</t>
  </si>
  <si>
    <t>lalitha201@gmail.com</t>
  </si>
  <si>
    <t>CUST0202</t>
  </si>
  <si>
    <t>Vijay Nair</t>
  </si>
  <si>
    <t>9630223017</t>
  </si>
  <si>
    <t>vijay202@gmail.com</t>
  </si>
  <si>
    <t>CUST0203</t>
  </si>
  <si>
    <t>Gopal Pillai</t>
  </si>
  <si>
    <t>9310546588</t>
  </si>
  <si>
    <t>gopal203@gmail.com</t>
  </si>
  <si>
    <t>CUST0204</t>
  </si>
  <si>
    <t>Mala Achari</t>
  </si>
  <si>
    <t>9637220565</t>
  </si>
  <si>
    <t>mala204@gmail.com</t>
  </si>
  <si>
    <t>CUST0205</t>
  </si>
  <si>
    <t>Lalitha Nathan</t>
  </si>
  <si>
    <t>9832703812</t>
  </si>
  <si>
    <t>lalitha205@gmail.com</t>
  </si>
  <si>
    <t>CUST0206</t>
  </si>
  <si>
    <t>Devi Venkataraman</t>
  </si>
  <si>
    <t>9236827900</t>
  </si>
  <si>
    <t>devi206@gmail.com</t>
  </si>
  <si>
    <t>CUST0207</t>
  </si>
  <si>
    <t>Sangeetha Selvam</t>
  </si>
  <si>
    <t>9305999029</t>
  </si>
  <si>
    <t>sangeetha207@gmail.com</t>
  </si>
  <si>
    <t>CUST0208</t>
  </si>
  <si>
    <t>Ezhil Menon</t>
  </si>
  <si>
    <t>9371571930</t>
  </si>
  <si>
    <t>ezhil208@gmail.com</t>
  </si>
  <si>
    <t>CUST0209</t>
  </si>
  <si>
    <t>Udhay Pandian</t>
  </si>
  <si>
    <t>9822735389</t>
  </si>
  <si>
    <t>udhay209@gmail.com</t>
  </si>
  <si>
    <t>CUST0210</t>
  </si>
  <si>
    <t>Anand Pandian</t>
  </si>
  <si>
    <t>9230693381</t>
  </si>
  <si>
    <t>anand210@gmail.com</t>
  </si>
  <si>
    <t>CUST0211</t>
  </si>
  <si>
    <t>Latha Chandran</t>
  </si>
  <si>
    <t>9874404381</t>
  </si>
  <si>
    <t>latha211@gmail.com</t>
  </si>
  <si>
    <t>CUST0212</t>
  </si>
  <si>
    <t>Vasanth Sekar</t>
  </si>
  <si>
    <t>9439562230</t>
  </si>
  <si>
    <t>vasanth212@gmail.com</t>
  </si>
  <si>
    <t>CUST0213</t>
  </si>
  <si>
    <t>Hariharan Subramaniam</t>
  </si>
  <si>
    <t>9891824663</t>
  </si>
  <si>
    <t>hariharan213@gmail.com</t>
  </si>
  <si>
    <t>CUST0214</t>
  </si>
  <si>
    <t>Thenmozhi Reddy</t>
  </si>
  <si>
    <t>9276610744</t>
  </si>
  <si>
    <t>thenmozhi214@gmail.com</t>
  </si>
  <si>
    <t>CUST0215</t>
  </si>
  <si>
    <t>Nithya Nathan</t>
  </si>
  <si>
    <t>9615360022</t>
  </si>
  <si>
    <t>nithya215@gmail.com</t>
  </si>
  <si>
    <t>CUST0216</t>
  </si>
  <si>
    <t>Nandhini Murugan</t>
  </si>
  <si>
    <t>9365379125</t>
  </si>
  <si>
    <t>nandhini216@gmail.com</t>
  </si>
  <si>
    <t>CUST0217</t>
  </si>
  <si>
    <t>Charulatha Chettiar</t>
  </si>
  <si>
    <t>9657996830</t>
  </si>
  <si>
    <t>charulatha217@gmail.com</t>
  </si>
  <si>
    <t>CUST0218</t>
  </si>
  <si>
    <t>Usha Menon</t>
  </si>
  <si>
    <t>9771463117</t>
  </si>
  <si>
    <t>usha218@gmail.com</t>
  </si>
  <si>
    <t>CUST0219</t>
  </si>
  <si>
    <t>Pandi Naidu</t>
  </si>
  <si>
    <t>9505224939</t>
  </si>
  <si>
    <t>pandi219@gmail.com</t>
  </si>
  <si>
    <t xml:space="preserve"> Gold</t>
  </si>
  <si>
    <t>CUST0220</t>
  </si>
  <si>
    <t>Mala Gupta</t>
  </si>
  <si>
    <t>9158829061</t>
  </si>
  <si>
    <t>mala220@gmail.com</t>
  </si>
  <si>
    <t>CUST0221</t>
  </si>
  <si>
    <t>Mala Nathan</t>
  </si>
  <si>
    <t>9156052697</t>
  </si>
  <si>
    <t>mala221@gmail.com</t>
  </si>
  <si>
    <t>CUST0222</t>
  </si>
  <si>
    <t>Balamurugan Varma</t>
  </si>
  <si>
    <t>9743789670</t>
  </si>
  <si>
    <t>balamurugan222@gmail.com</t>
  </si>
  <si>
    <t>CUST0223</t>
  </si>
  <si>
    <t>Gopal Velan</t>
  </si>
  <si>
    <t>9953801568</t>
  </si>
  <si>
    <t>gopal223@gmail.com</t>
  </si>
  <si>
    <t>CUST0224</t>
  </si>
  <si>
    <t>Priya Raj</t>
  </si>
  <si>
    <t>9825609063</t>
  </si>
  <si>
    <t>priya224@gmail.com</t>
  </si>
  <si>
    <t>CUST0225</t>
  </si>
  <si>
    <t>Raghav Naicker</t>
  </si>
  <si>
    <t>9215971195</t>
  </si>
  <si>
    <t>raghav225@gmail.com</t>
  </si>
  <si>
    <t>CUST0226</t>
  </si>
  <si>
    <t>Ilango Naicker</t>
  </si>
  <si>
    <t>9235271742</t>
  </si>
  <si>
    <t>ilango226gmail.com</t>
  </si>
  <si>
    <t>CUST0227</t>
  </si>
  <si>
    <t>9766633565</t>
  </si>
  <si>
    <t>vani227@gmail.com</t>
  </si>
  <si>
    <t>CUST0228</t>
  </si>
  <si>
    <t>Sundar Balan</t>
  </si>
  <si>
    <t>9237096167</t>
  </si>
  <si>
    <t>sundar228@gmail.com</t>
  </si>
  <si>
    <t>CUST0229</t>
  </si>
  <si>
    <t>Gayathri Kumar</t>
  </si>
  <si>
    <t>9726706507</t>
  </si>
  <si>
    <t>gayathri229@gmail.com</t>
  </si>
  <si>
    <t>CUST0230</t>
  </si>
  <si>
    <t>Thenmozhi Menon</t>
  </si>
  <si>
    <t>9496028184</t>
  </si>
  <si>
    <t>thenmozhi230@gmail.com</t>
  </si>
  <si>
    <t>CUST0231</t>
  </si>
  <si>
    <t>Suresh Menon</t>
  </si>
  <si>
    <t>9158634129</t>
  </si>
  <si>
    <t>suresh231@gmail.com</t>
  </si>
  <si>
    <t>CUST0232</t>
  </si>
  <si>
    <t>Kishore Sharma</t>
  </si>
  <si>
    <t>9466738585</t>
  </si>
  <si>
    <t>kishore232@gmail.com</t>
  </si>
  <si>
    <t>CUST0233</t>
  </si>
  <si>
    <t>Deepa Achari</t>
  </si>
  <si>
    <t>9843473702</t>
  </si>
  <si>
    <t>deepa233@gmail.com</t>
  </si>
  <si>
    <t>CUST0234</t>
  </si>
  <si>
    <t>Lakshmi Pandian</t>
  </si>
  <si>
    <t>9421726973</t>
  </si>
  <si>
    <t>lakshmi234@gmail.com</t>
  </si>
  <si>
    <t>CUST0235</t>
  </si>
  <si>
    <t>Rajesh Pandian</t>
  </si>
  <si>
    <t>9335585271</t>
  </si>
  <si>
    <t>rajesh235@gmail.com</t>
  </si>
  <si>
    <t>CUST0236</t>
  </si>
  <si>
    <t>Umesh Chandran</t>
  </si>
  <si>
    <t>9328855734</t>
  </si>
  <si>
    <t>umesh236@gmail.com</t>
  </si>
  <si>
    <t>CUST0237</t>
  </si>
  <si>
    <t>Harini Varma</t>
  </si>
  <si>
    <t>9529832349</t>
  </si>
  <si>
    <t>harini237@gmail.com</t>
  </si>
  <si>
    <t>CUST0238</t>
  </si>
  <si>
    <t>Balaji Varma</t>
  </si>
  <si>
    <t>9132231138</t>
  </si>
  <si>
    <t>balaji238@gmail.com</t>
  </si>
  <si>
    <t>CUST0239</t>
  </si>
  <si>
    <t>Jayakumar Velan</t>
  </si>
  <si>
    <t>9728875974</t>
  </si>
  <si>
    <t>jayakumar239@gmail.com</t>
  </si>
  <si>
    <t>CUST0240</t>
  </si>
  <si>
    <t>Yogesh Selvam</t>
  </si>
  <si>
    <t>9405051006</t>
  </si>
  <si>
    <t>yogesh240@gmail.com</t>
  </si>
  <si>
    <t>CUST0241</t>
  </si>
  <si>
    <t>Geetha Menon</t>
  </si>
  <si>
    <t>9364102119</t>
  </si>
  <si>
    <t>geetha241@gmail.com</t>
  </si>
  <si>
    <t>CUST0242</t>
  </si>
  <si>
    <t>9122541876</t>
  </si>
  <si>
    <t>sudha242@gmail.com</t>
  </si>
  <si>
    <t>CUST0243</t>
  </si>
  <si>
    <t>Lakshmi Reddy</t>
  </si>
  <si>
    <t>9325740666</t>
  </si>
  <si>
    <t>lakshmi243@gmail.com</t>
  </si>
  <si>
    <t>CUST0244</t>
  </si>
  <si>
    <t>Padma Naicker</t>
  </si>
  <si>
    <t>9283996190</t>
  </si>
  <si>
    <t>padma244@gmail.com</t>
  </si>
  <si>
    <t>CUST0245</t>
  </si>
  <si>
    <t>Kalpana Pandian</t>
  </si>
  <si>
    <t>9255082939</t>
  </si>
  <si>
    <t>kalpana245@gmail.com</t>
  </si>
  <si>
    <t>CUST0246</t>
  </si>
  <si>
    <t>Udhay Varma</t>
  </si>
  <si>
    <t>9501853574</t>
  </si>
  <si>
    <t>udhay246@gmail.com</t>
  </si>
  <si>
    <t>CUST0247</t>
  </si>
  <si>
    <t>Chitra Nathan</t>
  </si>
  <si>
    <t>9919353456</t>
  </si>
  <si>
    <t>chitra247@gmail.com</t>
  </si>
  <si>
    <t>CUST0248</t>
  </si>
  <si>
    <t>Devi Prabhu</t>
  </si>
  <si>
    <t>9451844369</t>
  </si>
  <si>
    <t>devi248@gmail.com</t>
  </si>
  <si>
    <t>CUST0249</t>
  </si>
  <si>
    <t>Dhanush Menon</t>
  </si>
  <si>
    <t>9625049703</t>
  </si>
  <si>
    <t>dhanush249@gmail.com</t>
  </si>
  <si>
    <t>CUST0250</t>
  </si>
  <si>
    <t>Nirmala Mudaliar</t>
  </si>
  <si>
    <t>9646119914</t>
  </si>
  <si>
    <t>nirmala250@gmail.com</t>
  </si>
  <si>
    <t>CUST0251</t>
  </si>
  <si>
    <t>Yogesh Devi</t>
  </si>
  <si>
    <t>9292198192</t>
  </si>
  <si>
    <t>yogesh251@gmail.com</t>
  </si>
  <si>
    <t>CUST0252</t>
  </si>
  <si>
    <t>Kannan Gupta</t>
  </si>
  <si>
    <t>9631278888</t>
  </si>
  <si>
    <t>kannan252@gmail.com</t>
  </si>
  <si>
    <t>CUST0253</t>
  </si>
  <si>
    <t>Ovi Reddy</t>
  </si>
  <si>
    <t>9139303775</t>
  </si>
  <si>
    <t>ovi253@gmail.com</t>
  </si>
  <si>
    <t>CUST0254</t>
  </si>
  <si>
    <t>Devi Raj</t>
  </si>
  <si>
    <t>9334713230</t>
  </si>
  <si>
    <t>devi254@gmail.com</t>
  </si>
  <si>
    <t>CUST0255</t>
  </si>
  <si>
    <t>Karthik Gounder</t>
  </si>
  <si>
    <t>9691150686</t>
  </si>
  <si>
    <t>karthik255@gmail.com</t>
  </si>
  <si>
    <t>CUST0256</t>
  </si>
  <si>
    <t>Charulatha Velan</t>
  </si>
  <si>
    <t>9347151294</t>
  </si>
  <si>
    <t>charulatha256@gmail.com</t>
  </si>
  <si>
    <t>CUST0257</t>
  </si>
  <si>
    <t>Eswari Sharma</t>
  </si>
  <si>
    <t>9584419915</t>
  </si>
  <si>
    <t>eswari257@gmail.com</t>
  </si>
  <si>
    <t>CUST0258</t>
  </si>
  <si>
    <t>Vasanthi Sekar</t>
  </si>
  <si>
    <t>MALE</t>
  </si>
  <si>
    <t>9393152423</t>
  </si>
  <si>
    <t>vasanthi258@gmail.com</t>
  </si>
  <si>
    <t>CUST0259</t>
  </si>
  <si>
    <t>Mani Pandian</t>
  </si>
  <si>
    <t>9181484595</t>
  </si>
  <si>
    <t>mani259@gmail.com</t>
  </si>
  <si>
    <t>CUST0260</t>
  </si>
  <si>
    <t>Geetha Achari</t>
  </si>
  <si>
    <t>9686962999</t>
  </si>
  <si>
    <t>geetha260@gmail.com</t>
  </si>
  <si>
    <t>CUST0261</t>
  </si>
  <si>
    <t>Gayathri Chettiar</t>
  </si>
  <si>
    <t>9176610062</t>
  </si>
  <si>
    <t>gayathri261@gmail.com</t>
  </si>
  <si>
    <t>CUST0262</t>
  </si>
  <si>
    <t>Udhay Mudaliar</t>
  </si>
  <si>
    <t>9453520145</t>
  </si>
  <si>
    <t>udhay262@gmail.com</t>
  </si>
  <si>
    <t>CUST0263</t>
  </si>
  <si>
    <t>Deepa Kumar</t>
  </si>
  <si>
    <t>9894376757</t>
  </si>
  <si>
    <t>deepa263@gmail.com</t>
  </si>
  <si>
    <t>CUST0264</t>
  </si>
  <si>
    <t>Kavya Sharma</t>
  </si>
  <si>
    <t>9982947411</t>
  </si>
  <si>
    <t>kavya264@gmail.com</t>
  </si>
  <si>
    <t>CUST0265</t>
  </si>
  <si>
    <t>Karthik Raj</t>
  </si>
  <si>
    <t>9112767564</t>
  </si>
  <si>
    <t>karthik265@gmail.com</t>
  </si>
  <si>
    <t>CUST0266</t>
  </si>
  <si>
    <t>Revathi Chettiar</t>
  </si>
  <si>
    <t>9344360546</t>
  </si>
  <si>
    <t>revathi266@gmail.com</t>
  </si>
  <si>
    <t>CUST0267</t>
  </si>
  <si>
    <t>Manoj Gounder</t>
  </si>
  <si>
    <t>9943933854</t>
  </si>
  <si>
    <t>manoj267@gmail.com</t>
  </si>
  <si>
    <t>CUST0268</t>
  </si>
  <si>
    <t>Ilango Sharma</t>
  </si>
  <si>
    <t>9950312143</t>
  </si>
  <si>
    <t>ilango268@gmail.com</t>
  </si>
  <si>
    <t>CUST0269</t>
  </si>
  <si>
    <t>Naveen Naidu</t>
  </si>
  <si>
    <t>9571029923</t>
  </si>
  <si>
    <t>naveen269@gmail.com</t>
  </si>
  <si>
    <t>CUST0270</t>
  </si>
  <si>
    <t>Banu Venkataraman</t>
  </si>
  <si>
    <t>9237810085</t>
  </si>
  <si>
    <t>banu270@gmail.com</t>
  </si>
  <si>
    <t>CUST0271</t>
  </si>
  <si>
    <t>Kalpana Iyer</t>
  </si>
  <si>
    <t>M</t>
  </si>
  <si>
    <t>9342118734</t>
  </si>
  <si>
    <t>kalpana271@gmail.com</t>
  </si>
  <si>
    <t>CUST0272</t>
  </si>
  <si>
    <t>Prakash Kumar</t>
  </si>
  <si>
    <t>9450125214</t>
  </si>
  <si>
    <t>prakash272@gmail.com</t>
  </si>
  <si>
    <t>CUST0273</t>
  </si>
  <si>
    <t>Ishwarya Murugan</t>
  </si>
  <si>
    <t>9454603800</t>
  </si>
  <si>
    <t>ishwarya273@gmail.com</t>
  </si>
  <si>
    <t>Bronz</t>
  </si>
  <si>
    <t>CUST0274</t>
  </si>
  <si>
    <t>Jayakumar Gupta</t>
  </si>
  <si>
    <t>9509437695</t>
  </si>
  <si>
    <t>jayakumar274@gmail.com</t>
  </si>
  <si>
    <t>CUST0275</t>
  </si>
  <si>
    <t>Latha Nathan</t>
  </si>
  <si>
    <t>9609788629</t>
  </si>
  <si>
    <t>latha275@gmail.com</t>
  </si>
  <si>
    <t>CUST0276</t>
  </si>
  <si>
    <t>Padma Balan</t>
  </si>
  <si>
    <t>9284064756</t>
  </si>
  <si>
    <t>padma276@gmail.com</t>
  </si>
  <si>
    <t>CUST0277</t>
  </si>
  <si>
    <t>Senthil Kumar</t>
  </si>
  <si>
    <t>9300459123</t>
  </si>
  <si>
    <t>senthil277@gmail.com</t>
  </si>
  <si>
    <t>CUST0278</t>
  </si>
  <si>
    <t>Umesh Nair</t>
  </si>
  <si>
    <t>9808207780</t>
  </si>
  <si>
    <t>umesh278@gmail.com</t>
  </si>
  <si>
    <t>CUST0279</t>
  </si>
  <si>
    <t>Ramesh Devi</t>
  </si>
  <si>
    <t>9284496457</t>
  </si>
  <si>
    <t>ramesh279@gmail.com</t>
  </si>
  <si>
    <t>CUST0280</t>
  </si>
  <si>
    <t>Gopal Mudaliar</t>
  </si>
  <si>
    <t>9676012047</t>
  </si>
  <si>
    <t>gopal280@gmail.com</t>
  </si>
  <si>
    <t>CUST0281</t>
  </si>
  <si>
    <t>Kamala Varma</t>
  </si>
  <si>
    <t>9320844007</t>
  </si>
  <si>
    <t>kamala281@gmail.com</t>
  </si>
  <si>
    <t>CUST0282</t>
  </si>
  <si>
    <t>Thenmozhi Venkataraman</t>
  </si>
  <si>
    <t>9730814687</t>
  </si>
  <si>
    <t>thenmozhi282@gmail.com</t>
  </si>
  <si>
    <t>CUST0283</t>
  </si>
  <si>
    <t>Malathi Sharma</t>
  </si>
  <si>
    <t>F</t>
  </si>
  <si>
    <t>9578600641</t>
  </si>
  <si>
    <t>malathi283@gmail.com</t>
  </si>
  <si>
    <t>CUST0284</t>
  </si>
  <si>
    <t>Usha Gounder</t>
  </si>
  <si>
    <t>9453144519</t>
  </si>
  <si>
    <t>usha284@gmail.com</t>
  </si>
  <si>
    <t>CUST0285</t>
  </si>
  <si>
    <t>Aishwarya Gounder</t>
  </si>
  <si>
    <t>9409142921</t>
  </si>
  <si>
    <t>aishwarya285@gmail.com</t>
  </si>
  <si>
    <t>CUST0286</t>
  </si>
  <si>
    <t>Senthil Devi</t>
  </si>
  <si>
    <t>9758233277</t>
  </si>
  <si>
    <t>senthil286@gmail.com</t>
  </si>
  <si>
    <t>CUST0287</t>
  </si>
  <si>
    <t>Ovi Achari</t>
  </si>
  <si>
    <t>9887314701</t>
  </si>
  <si>
    <t>ovi287@gmail.com</t>
  </si>
  <si>
    <t>CUST0288</t>
  </si>
  <si>
    <t>Jagan Iyer</t>
  </si>
  <si>
    <t>9710545999</t>
  </si>
  <si>
    <t>jagan288@gmail.com</t>
  </si>
  <si>
    <t>CUST0289</t>
  </si>
  <si>
    <t>Mala Naidu</t>
  </si>
  <si>
    <t>9774399203</t>
  </si>
  <si>
    <t>mala289@gmail.com</t>
  </si>
  <si>
    <t>CUST0290</t>
  </si>
  <si>
    <t>Uma Pillai</t>
  </si>
  <si>
    <t>9541606556</t>
  </si>
  <si>
    <t>uma290@gmail.com</t>
  </si>
  <si>
    <t>CUST0291</t>
  </si>
  <si>
    <t>Revathi Sharma</t>
  </si>
  <si>
    <t>9641589839</t>
  </si>
  <si>
    <t>revathi291@gmail.com</t>
  </si>
  <si>
    <t>CUST0292</t>
  </si>
  <si>
    <t>Nirmala Venkataraman</t>
  </si>
  <si>
    <t>9322664095</t>
  </si>
  <si>
    <t>nirmala292@gmail.com</t>
  </si>
  <si>
    <t>CUST0293</t>
  </si>
  <si>
    <t>Suresh Chandran</t>
  </si>
  <si>
    <t>9468999657</t>
  </si>
  <si>
    <t>suresh293@gmail.com</t>
  </si>
  <si>
    <t>CUST0294</t>
  </si>
  <si>
    <t>Deepak Venkataraman</t>
  </si>
  <si>
    <t>9223139628</t>
  </si>
  <si>
    <t>deepak294@gmail.com</t>
  </si>
  <si>
    <t>CUST0295</t>
  </si>
  <si>
    <t>Latha Gounder</t>
  </si>
  <si>
    <t>9595378308</t>
  </si>
  <si>
    <t>latha295@gmail.com</t>
  </si>
  <si>
    <t>CUST0296</t>
  </si>
  <si>
    <t>Uma Pandian</t>
  </si>
  <si>
    <t>9605504475</t>
  </si>
  <si>
    <t>uma296@gmail.com</t>
  </si>
  <si>
    <t>CUST0297</t>
  </si>
  <si>
    <t>Nithya Sharma</t>
  </si>
  <si>
    <t>9207927292</t>
  </si>
  <si>
    <t>nithya297@gmail.com</t>
  </si>
  <si>
    <t>CUST0298</t>
  </si>
  <si>
    <t>Divya Naicker</t>
  </si>
  <si>
    <t>9183306581</t>
  </si>
  <si>
    <t>divya298@gmail.com</t>
  </si>
  <si>
    <t>CUST0299</t>
  </si>
  <si>
    <t>Chandran Krishnan</t>
  </si>
  <si>
    <t>9484492979</t>
  </si>
  <si>
    <t>chandran299@gmail.com</t>
  </si>
  <si>
    <t>CUST0300</t>
  </si>
  <si>
    <t>Indira Prabhu</t>
  </si>
  <si>
    <t>9574656314</t>
  </si>
  <si>
    <t>indira300@gmail.com</t>
  </si>
  <si>
    <t>CUST0301</t>
  </si>
  <si>
    <t>Dinesh Chandran</t>
  </si>
  <si>
    <t>9841254136</t>
  </si>
  <si>
    <t>dinesh301@gmail.com</t>
  </si>
  <si>
    <t>CUST0302</t>
  </si>
  <si>
    <t>Rajesh Reddy</t>
  </si>
  <si>
    <t>9923682643</t>
  </si>
  <si>
    <t>rajesh302@gmail.com</t>
  </si>
  <si>
    <t>CUST0303</t>
  </si>
  <si>
    <t>Kamala Subramaniam</t>
  </si>
  <si>
    <t>9198125433</t>
  </si>
  <si>
    <t>kamala303@gmail.com</t>
  </si>
  <si>
    <t>CUST0304</t>
  </si>
  <si>
    <t>9830100976</t>
  </si>
  <si>
    <t>yamuna304@gmail.com</t>
  </si>
  <si>
    <t>CUST0305</t>
  </si>
  <si>
    <t>Hemalatha Mudaliar</t>
  </si>
  <si>
    <t>9280262874</t>
  </si>
  <si>
    <t>hemalatha305@gmail.com</t>
  </si>
  <si>
    <t>CUST0306</t>
  </si>
  <si>
    <t>Thiru Achari</t>
  </si>
  <si>
    <t>9446474552</t>
  </si>
  <si>
    <t>thiru306@gmail.com</t>
  </si>
  <si>
    <t>CUST0307</t>
  </si>
  <si>
    <t>Ashok Nathan</t>
  </si>
  <si>
    <t>9559432973</t>
  </si>
  <si>
    <t>ashok307@gmail.com</t>
  </si>
  <si>
    <t>CUST0308</t>
  </si>
  <si>
    <t>Deepa Nathan</t>
  </si>
  <si>
    <t>9116100303</t>
  </si>
  <si>
    <t>deepa308@gmail.com</t>
  </si>
  <si>
    <t>CUST0309</t>
  </si>
  <si>
    <t>Bharath Pillai</t>
  </si>
  <si>
    <t>9336326489</t>
  </si>
  <si>
    <t>bharath309@gmail.com</t>
  </si>
  <si>
    <t>CUST0310</t>
  </si>
  <si>
    <t>Venkat Devi</t>
  </si>
  <si>
    <t>9172296393</t>
  </si>
  <si>
    <t>venkat310@gmail.com</t>
  </si>
  <si>
    <t>CUST0311</t>
  </si>
  <si>
    <t>Sudha Pandian</t>
  </si>
  <si>
    <t>9865074455</t>
  </si>
  <si>
    <t>sudha311@gmail.com</t>
  </si>
  <si>
    <t>CUST0312</t>
  </si>
  <si>
    <t>Tara Sharma</t>
  </si>
  <si>
    <t>9448272764</t>
  </si>
  <si>
    <t>tara312@gmail.com</t>
  </si>
  <si>
    <t>CUST0313</t>
  </si>
  <si>
    <t>Thiru Nair</t>
  </si>
  <si>
    <t>9288260274</t>
  </si>
  <si>
    <t>thiru313@gmail.com</t>
  </si>
  <si>
    <t>CUST0314</t>
  </si>
  <si>
    <t>Senthil Velan</t>
  </si>
  <si>
    <t>9459816489</t>
  </si>
  <si>
    <t>senthil314@gmail.com</t>
  </si>
  <si>
    <t>CUST0315</t>
  </si>
  <si>
    <t>Aishwarya Varma</t>
  </si>
  <si>
    <t>9896516636</t>
  </si>
  <si>
    <t>aishwarya315@gmail.com</t>
  </si>
  <si>
    <t>CUST0316</t>
  </si>
  <si>
    <t>Aishwarya Iyer</t>
  </si>
  <si>
    <t>9122777694</t>
  </si>
  <si>
    <t>aishwarya316@gmail.com</t>
  </si>
  <si>
    <t>CUST0317</t>
  </si>
  <si>
    <t>Prasath Nathan</t>
  </si>
  <si>
    <t>9765468920</t>
  </si>
  <si>
    <t>prasath317@gmail.com</t>
  </si>
  <si>
    <t>CUST0318</t>
  </si>
  <si>
    <t>Ilango Achari</t>
  </si>
  <si>
    <t>9262855048</t>
  </si>
  <si>
    <t>ilango318@gmail.com</t>
  </si>
  <si>
    <t>CUST0319</t>
  </si>
  <si>
    <t>Malathi Nathan</t>
  </si>
  <si>
    <t>9244168106</t>
  </si>
  <si>
    <t>malathi319@gmail.com</t>
  </si>
  <si>
    <t>CUST0320</t>
  </si>
  <si>
    <t>Sudha Menon</t>
  </si>
  <si>
    <t>9972641299</t>
  </si>
  <si>
    <t>sudha320@gmail.com</t>
  </si>
  <si>
    <t>CUST0321</t>
  </si>
  <si>
    <t>Yamuna Mudaliar</t>
  </si>
  <si>
    <t>9360112864</t>
  </si>
  <si>
    <t>yamuna321@gmail.com</t>
  </si>
  <si>
    <t>CUST0322</t>
  </si>
  <si>
    <t>Mala Murugan</t>
  </si>
  <si>
    <t>9847622862</t>
  </si>
  <si>
    <t>mala322@gmail.com</t>
  </si>
  <si>
    <t>CUST0323</t>
  </si>
  <si>
    <t>Senthil Sekar</t>
  </si>
  <si>
    <t>9297080451</t>
  </si>
  <si>
    <t>senthil323@gmail.com</t>
  </si>
  <si>
    <t>CUST0324</t>
  </si>
  <si>
    <t xml:space="preserve">  Tamil Velan  </t>
  </si>
  <si>
    <t>9306658203</t>
  </si>
  <si>
    <t>tamil324@gmail.com</t>
  </si>
  <si>
    <t>CUST0325</t>
  </si>
  <si>
    <t>Meena Kumar</t>
  </si>
  <si>
    <t>9286482992</t>
  </si>
  <si>
    <t>meena325@gmail.com</t>
  </si>
  <si>
    <t>CUST0326</t>
  </si>
  <si>
    <t>Radha Raj</t>
  </si>
  <si>
    <t>9878451124</t>
  </si>
  <si>
    <t>radha326@gmail.com</t>
  </si>
  <si>
    <t>CUST0327</t>
  </si>
  <si>
    <t>Lakshmi Rao</t>
  </si>
  <si>
    <t>9289446179</t>
  </si>
  <si>
    <t>lakshmi327@gmail.com</t>
  </si>
  <si>
    <t>CUST0328</t>
  </si>
  <si>
    <t>Nagarajan Krishnan</t>
  </si>
  <si>
    <t>9316252684</t>
  </si>
  <si>
    <t>nagarajan328@gmail.com</t>
  </si>
  <si>
    <t>CUST0329</t>
  </si>
  <si>
    <t>Usha Krishnan</t>
  </si>
  <si>
    <t>9505571070</t>
  </si>
  <si>
    <t>usha329@gmail.com</t>
  </si>
  <si>
    <t>CUST0330</t>
  </si>
  <si>
    <t>Anand Balan</t>
  </si>
  <si>
    <t>9980042882</t>
  </si>
  <si>
    <t>anand330@gmail.com</t>
  </si>
  <si>
    <t>CUST0331</t>
  </si>
  <si>
    <t>Gopal Chandran</t>
  </si>
  <si>
    <t>9914817912</t>
  </si>
  <si>
    <t>gopal331@gmail.com</t>
  </si>
  <si>
    <t>CUST0332</t>
  </si>
  <si>
    <t>Kishore Krishnan</t>
  </si>
  <si>
    <t>9288655709</t>
  </si>
  <si>
    <t>kishore332@gmail.com</t>
  </si>
  <si>
    <t>CUST0333</t>
  </si>
  <si>
    <t>Sangeetha Pandian</t>
  </si>
  <si>
    <t>9703595485</t>
  </si>
  <si>
    <t>sangeetha333@gmail.com</t>
  </si>
  <si>
    <t>CUST0334</t>
  </si>
  <si>
    <t>Anitha Kumar</t>
  </si>
  <si>
    <t>9266134114</t>
  </si>
  <si>
    <t>anitha334@gmail.com</t>
  </si>
  <si>
    <t>CUST0335</t>
  </si>
  <si>
    <t>Sathish Iyer</t>
  </si>
  <si>
    <t>9534387896</t>
  </si>
  <si>
    <t>sathish335@gmail.com</t>
  </si>
  <si>
    <t>CUST0336</t>
  </si>
  <si>
    <t>Dhanya Achari</t>
  </si>
  <si>
    <t>9731691986</t>
  </si>
  <si>
    <t>dhanya336@gmail.com</t>
  </si>
  <si>
    <t>CUST0337</t>
  </si>
  <si>
    <t>Yogesh Sekar</t>
  </si>
  <si>
    <t>9707317600</t>
  </si>
  <si>
    <t>yogesh337@gmail.com</t>
  </si>
  <si>
    <t>CUST0338</t>
  </si>
  <si>
    <t>Mala Pillai</t>
  </si>
  <si>
    <t>9861420895</t>
  </si>
  <si>
    <t>mala338@gmail.com</t>
  </si>
  <si>
    <t>CUST0339</t>
  </si>
  <si>
    <t xml:space="preserve">  Tara Gupta  </t>
  </si>
  <si>
    <t>9889913429</t>
  </si>
  <si>
    <t>tara339@gmail.com</t>
  </si>
  <si>
    <t>CUST0340</t>
  </si>
  <si>
    <t>Anand Prabhu</t>
  </si>
  <si>
    <t>9858661900</t>
  </si>
  <si>
    <t>anand340@gmail.com</t>
  </si>
  <si>
    <t>CUST0341</t>
  </si>
  <si>
    <t>Elango Sekar</t>
  </si>
  <si>
    <t>9258234528</t>
  </si>
  <si>
    <t>elango341@gmail.com</t>
  </si>
  <si>
    <t>CUST0342</t>
  </si>
  <si>
    <t>Usha Murugan</t>
  </si>
  <si>
    <t>9225338571</t>
  </si>
  <si>
    <t>usha342@gmail.com</t>
  </si>
  <si>
    <t>CUST0343</t>
  </si>
  <si>
    <t>Jayakumar Nathan</t>
  </si>
  <si>
    <t>9656774907</t>
  </si>
  <si>
    <t>jayakumar343@gmail.com</t>
  </si>
  <si>
    <t>CUST0344</t>
  </si>
  <si>
    <t>Karthik Nathan</t>
  </si>
  <si>
    <t>9424505786</t>
  </si>
  <si>
    <t>karthik344@gmail.com</t>
  </si>
  <si>
    <t>CUST0345</t>
  </si>
  <si>
    <t>Tamil Raj</t>
  </si>
  <si>
    <t>9430689788</t>
  </si>
  <si>
    <t>tamil345@gmail.com</t>
  </si>
  <si>
    <t>CUST0346</t>
  </si>
  <si>
    <t>Thenmozhi Devi</t>
  </si>
  <si>
    <t>9974270684</t>
  </si>
  <si>
    <t>thenmozhi346@gmail.com</t>
  </si>
  <si>
    <t>CUST0347</t>
  </si>
  <si>
    <t>Balamurugan Murugan</t>
  </si>
  <si>
    <t>9430820228</t>
  </si>
  <si>
    <t>balamurugan347@gmail.com</t>
  </si>
  <si>
    <t>CUST0348</t>
  </si>
  <si>
    <t>Hariharan Devi</t>
  </si>
  <si>
    <t>9174991729</t>
  </si>
  <si>
    <t>hariharan348@gmail.com</t>
  </si>
  <si>
    <t>CUST0349</t>
  </si>
  <si>
    <t>Mala Devi</t>
  </si>
  <si>
    <t>9283217137</t>
  </si>
  <si>
    <t>mala349@gmail.com</t>
  </si>
  <si>
    <t>CUST0350</t>
  </si>
  <si>
    <t>Raghav Chettiar</t>
  </si>
  <si>
    <t>9295404184</t>
  </si>
  <si>
    <t>raghav350@gmail.com</t>
  </si>
  <si>
    <t>CUST0351</t>
  </si>
  <si>
    <t>Revathi Devi</t>
  </si>
  <si>
    <t>9315758599</t>
  </si>
  <si>
    <t>revathi351@gmail.com</t>
  </si>
  <si>
    <t>CUST0352</t>
  </si>
  <si>
    <t>Hemalatha Naicker</t>
  </si>
  <si>
    <t>9538937500</t>
  </si>
  <si>
    <t>hemalatha352@gmail.com</t>
  </si>
  <si>
    <t>CUST0353</t>
  </si>
  <si>
    <t>Mala Nair</t>
  </si>
  <si>
    <t>9414741200</t>
  </si>
  <si>
    <t>mala353@gmail.com</t>
  </si>
  <si>
    <t>CUST0354</t>
  </si>
  <si>
    <t>Hemalatha Gounder</t>
  </si>
  <si>
    <t>9728833035</t>
  </si>
  <si>
    <t>hemalatha354@gmail.com</t>
  </si>
  <si>
    <t>CUST0355</t>
  </si>
  <si>
    <t>Chandran Murugan</t>
  </si>
  <si>
    <t>9165558887</t>
  </si>
  <si>
    <t>chandran355@gmail.com</t>
  </si>
  <si>
    <t>CUST0356</t>
  </si>
  <si>
    <t>Janani Chettiar</t>
  </si>
  <si>
    <t>9326632925</t>
  </si>
  <si>
    <t>janani356@gmail.com</t>
  </si>
  <si>
    <t>CUST0357</t>
  </si>
  <si>
    <t>Sundar Naicker</t>
  </si>
  <si>
    <t>9621759233</t>
  </si>
  <si>
    <t>sundar357@gmail.com</t>
  </si>
  <si>
    <t>CUST0358</t>
  </si>
  <si>
    <t>9832141597</t>
  </si>
  <si>
    <t>lalitha358@gmail.com</t>
  </si>
  <si>
    <t>CUST0359</t>
  </si>
  <si>
    <t>Manoj Naidu</t>
  </si>
  <si>
    <t>9755851235</t>
  </si>
  <si>
    <t>manoj359@gmail.com</t>
  </si>
  <si>
    <t>CUST0360</t>
  </si>
  <si>
    <t>Deepak Nathan</t>
  </si>
  <si>
    <t>9590613316</t>
  </si>
  <si>
    <t>deepak360@gmail.com</t>
  </si>
  <si>
    <t>CUST0361</t>
  </si>
  <si>
    <t>Ramesh Achari</t>
  </si>
  <si>
    <t>9400075968</t>
  </si>
  <si>
    <t>ramesh361@gmail.com</t>
  </si>
  <si>
    <t>CUST0362</t>
  </si>
  <si>
    <t>Yazhini Prabhu</t>
  </si>
  <si>
    <t>9543591301</t>
  </si>
  <si>
    <t>yazhini362@gmail.com</t>
  </si>
  <si>
    <t>CUST0363</t>
  </si>
  <si>
    <t>Elango Devi</t>
  </si>
  <si>
    <t>9780513199</t>
  </si>
  <si>
    <t>elango363@gmail.com</t>
  </si>
  <si>
    <t>CUST0364</t>
  </si>
  <si>
    <t>Suresh Sekar</t>
  </si>
  <si>
    <t>9577070108</t>
  </si>
  <si>
    <t>suresh364@gmail.com</t>
  </si>
  <si>
    <t>CUST0365</t>
  </si>
  <si>
    <t>Jaya Iyer</t>
  </si>
  <si>
    <t>9559471600</t>
  </si>
  <si>
    <t>jaya365@gmail.com</t>
  </si>
  <si>
    <t>CUST0366</t>
  </si>
  <si>
    <t>Kalpana Sekar</t>
  </si>
  <si>
    <t>9309462280</t>
  </si>
  <si>
    <t>kalpana366@gmail.com</t>
  </si>
  <si>
    <t>CUST0367</t>
  </si>
  <si>
    <t>Chandrasekar Raj</t>
  </si>
  <si>
    <t>9237290086</t>
  </si>
  <si>
    <t>chandrasekar367@gmail.com</t>
  </si>
  <si>
    <t>CUST0368</t>
  </si>
  <si>
    <t>Kamala Chettiar</t>
  </si>
  <si>
    <t>9280445368</t>
  </si>
  <si>
    <t>kamala368@gmail.com</t>
  </si>
  <si>
    <t>CUST0369</t>
  </si>
  <si>
    <t>Bharath Gupta</t>
  </si>
  <si>
    <t>9327247605</t>
  </si>
  <si>
    <t>bharath369@gmail.com</t>
  </si>
  <si>
    <t>CUST0370</t>
  </si>
  <si>
    <t>Jaya Naicker</t>
  </si>
  <si>
    <t>9450577559</t>
  </si>
  <si>
    <t>jaya370@gmail.com</t>
  </si>
  <si>
    <t>CUST0371</t>
  </si>
  <si>
    <t>Dhanya Pillai</t>
  </si>
  <si>
    <t>9232175587</t>
  </si>
  <si>
    <t>dhanya371@gmail.com</t>
  </si>
  <si>
    <t>CUST0372</t>
  </si>
  <si>
    <t>Harini Sharma</t>
  </si>
  <si>
    <t>9954205066</t>
  </si>
  <si>
    <t>harini372@gmail.com</t>
  </si>
  <si>
    <t>CUST0373</t>
  </si>
  <si>
    <t>Bhavani Prabhu</t>
  </si>
  <si>
    <t>9468535879</t>
  </si>
  <si>
    <t>bhavani373@gmail.com</t>
  </si>
  <si>
    <t>CUST0374</t>
  </si>
  <si>
    <t>Bhavani Pandian</t>
  </si>
  <si>
    <t>9968063877</t>
  </si>
  <si>
    <t>bhavani374@gmail.com</t>
  </si>
  <si>
    <t>CUST0375</t>
  </si>
  <si>
    <t>Yogesh Gounder</t>
  </si>
  <si>
    <t>9195712730</t>
  </si>
  <si>
    <t>yogesh375@gmail.com</t>
  </si>
  <si>
    <t>BRONZE</t>
  </si>
  <si>
    <t>CUST0376</t>
  </si>
  <si>
    <t>Thiru Venkataraman</t>
  </si>
  <si>
    <t>9494854627</t>
  </si>
  <si>
    <t>thiru376@gmail.com</t>
  </si>
  <si>
    <t>CUST0377</t>
  </si>
  <si>
    <t>Chitra Reddy</t>
  </si>
  <si>
    <t>9433717796</t>
  </si>
  <si>
    <t>chitra377@gmail.com</t>
  </si>
  <si>
    <t>CUST0378</t>
  </si>
  <si>
    <t>Radha Nair</t>
  </si>
  <si>
    <t>9443214044</t>
  </si>
  <si>
    <t>radha378@gmail.com</t>
  </si>
  <si>
    <t>CUST0379</t>
  </si>
  <si>
    <t>Aishwarya Pandian</t>
  </si>
  <si>
    <t>9524463440</t>
  </si>
  <si>
    <t>aishwarya379@gmail.com</t>
  </si>
  <si>
    <t>CUST0380</t>
  </si>
  <si>
    <t>Dinesh Venkataraman</t>
  </si>
  <si>
    <t>9636691235</t>
  </si>
  <si>
    <t>dinesh380@gmail.com</t>
  </si>
  <si>
    <t>CUST0381</t>
  </si>
  <si>
    <t>Ovi Chandran</t>
  </si>
  <si>
    <t>9960380468</t>
  </si>
  <si>
    <t>ovi381@gmail.com</t>
  </si>
  <si>
    <t>CUST0382</t>
  </si>
  <si>
    <t>Aishwarya Selvam</t>
  </si>
  <si>
    <t>9839378623</t>
  </si>
  <si>
    <t>aishwarya382@gmail.com</t>
  </si>
  <si>
    <t>CUST0383</t>
  </si>
  <si>
    <t>Charulatha Naidu</t>
  </si>
  <si>
    <t>9412990487</t>
  </si>
  <si>
    <t>charulatha383@gmail.com</t>
  </si>
  <si>
    <t>CUST0384</t>
  </si>
  <si>
    <t>Anand Kumar</t>
  </si>
  <si>
    <t>9988934422</t>
  </si>
  <si>
    <t>anand384@gmail.com</t>
  </si>
  <si>
    <t>CUST0385</t>
  </si>
  <si>
    <t>Bharath Krishnan</t>
  </si>
  <si>
    <t>9623454129</t>
  </si>
  <si>
    <t>bharath385@gmail.com</t>
  </si>
  <si>
    <t>CUST0386</t>
  </si>
  <si>
    <t>Nithya Selvam</t>
  </si>
  <si>
    <t>9688349223</t>
  </si>
  <si>
    <t>nithya386@gmail.com</t>
  </si>
  <si>
    <t>CUST0387</t>
  </si>
  <si>
    <t>Radha Sekar</t>
  </si>
  <si>
    <t>9519900806</t>
  </si>
  <si>
    <t>radha387@gmail.com</t>
  </si>
  <si>
    <t>CUST0388</t>
  </si>
  <si>
    <t>Sanjay Sekar</t>
  </si>
  <si>
    <t>9688421294</t>
  </si>
  <si>
    <t>sanjay388@gmail.com</t>
  </si>
  <si>
    <t>CUST0389</t>
  </si>
  <si>
    <t>Madhavan Naidu</t>
  </si>
  <si>
    <t>9861913813</t>
  </si>
  <si>
    <t>madhavan389@gmail.com</t>
  </si>
  <si>
    <t>CUST0390</t>
  </si>
  <si>
    <t>Jaya Varma</t>
  </si>
  <si>
    <t>9618017848</t>
  </si>
  <si>
    <t>jaya390@gmail.com</t>
  </si>
  <si>
    <t>CUST0391</t>
  </si>
  <si>
    <t>Bhuvana Gounder</t>
  </si>
  <si>
    <t>9109805961</t>
  </si>
  <si>
    <t>bhuvana391@gmail.com</t>
  </si>
  <si>
    <t>CUST0392</t>
  </si>
  <si>
    <t>Indira Chettiar</t>
  </si>
  <si>
    <t>9558607012</t>
  </si>
  <si>
    <t>indira392@gmail.com</t>
  </si>
  <si>
    <t>CUST0393</t>
  </si>
  <si>
    <t>Banu Reddy</t>
  </si>
  <si>
    <t>9608820219</t>
  </si>
  <si>
    <t>banu393@gmail.com</t>
  </si>
  <si>
    <t>CUST0394</t>
  </si>
  <si>
    <t>Sudha Mudaliar</t>
  </si>
  <si>
    <t>9463446378</t>
  </si>
  <si>
    <t>sudha394@gmail.com</t>
  </si>
  <si>
    <t>CUST0395</t>
  </si>
  <si>
    <t>Arun Pandian</t>
  </si>
  <si>
    <t>9136499524</t>
  </si>
  <si>
    <t>arun395@gmail.com</t>
  </si>
  <si>
    <t>CUST0396</t>
  </si>
  <si>
    <t>Yogesh Raj</t>
  </si>
  <si>
    <t>9900152663</t>
  </si>
  <si>
    <t>yogesh396@gmail.com</t>
  </si>
  <si>
    <t>CUST0397</t>
  </si>
  <si>
    <t>Sudha Venkataraman</t>
  </si>
  <si>
    <t>9778962940</t>
  </si>
  <si>
    <t>sudha397@gmail.com</t>
  </si>
  <si>
    <t>CUST0398</t>
  </si>
  <si>
    <t>Balamurugan Menon</t>
  </si>
  <si>
    <t>9231051868</t>
  </si>
  <si>
    <t>balamurugan398@gmail.com</t>
  </si>
  <si>
    <t>CUST0399</t>
  </si>
  <si>
    <t>Karthik Kumar</t>
  </si>
  <si>
    <t>9714857387</t>
  </si>
  <si>
    <t>karthik399@gmail.com</t>
  </si>
  <si>
    <t>CUST0400</t>
  </si>
  <si>
    <t>Meena Prabhu</t>
  </si>
  <si>
    <t>9619896637</t>
  </si>
  <si>
    <t>meena400@gmail.com</t>
  </si>
  <si>
    <t>CUST0401</t>
  </si>
  <si>
    <t>Gayathri Prabhu</t>
  </si>
  <si>
    <t>9449211955</t>
  </si>
  <si>
    <t>gayathri401@gmail.com</t>
  </si>
  <si>
    <t>CUST0402</t>
  </si>
  <si>
    <t>Usha Raj</t>
  </si>
  <si>
    <t>9697065054</t>
  </si>
  <si>
    <t>usha402@gmail.com</t>
  </si>
  <si>
    <t>CUST0403</t>
  </si>
  <si>
    <t xml:space="preserve">  Om Iyer  </t>
  </si>
  <si>
    <t>9678727283</t>
  </si>
  <si>
    <t>om403@gmail.com</t>
  </si>
  <si>
    <t>CUST0404</t>
  </si>
  <si>
    <t>Dhanush Velan</t>
  </si>
  <si>
    <t>9225977908</t>
  </si>
  <si>
    <t>dhanush404@gmail.com</t>
  </si>
  <si>
    <t>CUST0405</t>
  </si>
  <si>
    <t>Devi Velan</t>
  </si>
  <si>
    <t>9580212641</t>
  </si>
  <si>
    <t>devi405@gmail.com</t>
  </si>
  <si>
    <t>CUST0406</t>
  </si>
  <si>
    <t>Gopal Naidu</t>
  </si>
  <si>
    <t>9800767402</t>
  </si>
  <si>
    <t>gopal406@gmail.com</t>
  </si>
  <si>
    <t>CUST0407</t>
  </si>
  <si>
    <t>Thiru Selvam</t>
  </si>
  <si>
    <t>9233913984</t>
  </si>
  <si>
    <t>thiru407@gmail.com</t>
  </si>
  <si>
    <t>CUST0408</t>
  </si>
  <si>
    <t>Chandran Selvam</t>
  </si>
  <si>
    <t>9806693247</t>
  </si>
  <si>
    <t>chandran408@gmail.com</t>
  </si>
  <si>
    <t>CUST0409</t>
  </si>
  <si>
    <t>Banu Subramaniam</t>
  </si>
  <si>
    <t>9807765063</t>
  </si>
  <si>
    <t>banu409@gmail.com</t>
  </si>
  <si>
    <t>CUST0410</t>
  </si>
  <si>
    <t>Revathi Gounder</t>
  </si>
  <si>
    <t>9478082887</t>
  </si>
  <si>
    <t>revathi410@gmail.com</t>
  </si>
  <si>
    <t>CUST0411</t>
  </si>
  <si>
    <t>Jaya Pillai</t>
  </si>
  <si>
    <t>9980214137</t>
  </si>
  <si>
    <t>jaya411@gmail.com</t>
  </si>
  <si>
    <t>CUST0412</t>
  </si>
  <si>
    <t>Kalpana Gounder</t>
  </si>
  <si>
    <t>9244104747</t>
  </si>
  <si>
    <t>kalpana412@gmail.com</t>
  </si>
  <si>
    <t>CUST0413</t>
  </si>
  <si>
    <t>Udhay Sharma</t>
  </si>
  <si>
    <t>9882869895</t>
  </si>
  <si>
    <t>udhay413@gmail.com</t>
  </si>
  <si>
    <t>CUST0414</t>
  </si>
  <si>
    <t>Jaya Pandian</t>
  </si>
  <si>
    <t>9797684086</t>
  </si>
  <si>
    <t>jaya414@gmail.com</t>
  </si>
  <si>
    <t>CUST0415</t>
  </si>
  <si>
    <t>Bharath Devi</t>
  </si>
  <si>
    <t>9556708953</t>
  </si>
  <si>
    <t>bharath415@gmail.com</t>
  </si>
  <si>
    <t>CUST0416</t>
  </si>
  <si>
    <t>Hari Prabhu</t>
  </si>
  <si>
    <t>9848186455</t>
  </si>
  <si>
    <t>hari416@gmail.com</t>
  </si>
  <si>
    <t>CUST0417</t>
  </si>
  <si>
    <t>Sanjay Chandran</t>
  </si>
  <si>
    <t>9276139909</t>
  </si>
  <si>
    <t>sanjay417@gmail.com</t>
  </si>
  <si>
    <t>CUST0418</t>
  </si>
  <si>
    <t>Jayakumar Gounder</t>
  </si>
  <si>
    <t>f</t>
  </si>
  <si>
    <t>9127820499</t>
  </si>
  <si>
    <t>jayakumar418@gmail.com</t>
  </si>
  <si>
    <t>CUST0419</t>
  </si>
  <si>
    <t>Prasath Varma</t>
  </si>
  <si>
    <t>9834417124</t>
  </si>
  <si>
    <t>prasath419@gmail.com</t>
  </si>
  <si>
    <t>CUST0420</t>
  </si>
  <si>
    <t>Bharath Mudaliar</t>
  </si>
  <si>
    <t>9458111525</t>
  </si>
  <si>
    <t>bharath420@gmail.com</t>
  </si>
  <si>
    <t>CUST0421</t>
  </si>
  <si>
    <t>Karthik Devi</t>
  </si>
  <si>
    <t>9110590679</t>
  </si>
  <si>
    <t>karthik421@gmail.com</t>
  </si>
  <si>
    <t>CUST0422</t>
  </si>
  <si>
    <t>Balamurugan Naidu</t>
  </si>
  <si>
    <t>9288690127</t>
  </si>
  <si>
    <t>balamurugan422@gmail.com</t>
  </si>
  <si>
    <t>CUST0423</t>
  </si>
  <si>
    <t>Lakshmi Velan</t>
  </si>
  <si>
    <t>m</t>
  </si>
  <si>
    <t>9667966601</t>
  </si>
  <si>
    <t>lakshmi423@gmail.com</t>
  </si>
  <si>
    <t>CUST0424</t>
  </si>
  <si>
    <t>Sanjay Varma</t>
  </si>
  <si>
    <t>9752262668</t>
  </si>
  <si>
    <t>sanjay424@gmail.com</t>
  </si>
  <si>
    <t>CUST0425</t>
  </si>
  <si>
    <t>Balaji Mudaliar</t>
  </si>
  <si>
    <t>9470626564</t>
  </si>
  <si>
    <t>balaji425@gmail.com</t>
  </si>
  <si>
    <t>CUST0426</t>
  </si>
  <si>
    <t>Venkat Nathan</t>
  </si>
  <si>
    <t>9735988157</t>
  </si>
  <si>
    <t>venkat426@gmail.com</t>
  </si>
  <si>
    <t>CUST0427</t>
  </si>
  <si>
    <t>Ashok Gounder</t>
  </si>
  <si>
    <t>9235686993</t>
  </si>
  <si>
    <t>ashok427@gmail.com</t>
  </si>
  <si>
    <t>CUST0428</t>
  </si>
  <si>
    <t>Anand Krishnan</t>
  </si>
  <si>
    <t>9786328781</t>
  </si>
  <si>
    <t>anand428@gmail.com</t>
  </si>
  <si>
    <t>CUST0429</t>
  </si>
  <si>
    <t>Banu Naicker</t>
  </si>
  <si>
    <t>9591544608</t>
  </si>
  <si>
    <t>banu429@gmail.com</t>
  </si>
  <si>
    <t>CUST0430</t>
  </si>
  <si>
    <t>Hemalatha Rao</t>
  </si>
  <si>
    <t>9396162658</t>
  </si>
  <si>
    <t>hemalatha430@gmail.com</t>
  </si>
  <si>
    <t>CUST0431</t>
  </si>
  <si>
    <t>Vasanth Pandian</t>
  </si>
  <si>
    <t>9536491927</t>
  </si>
  <si>
    <t>vasanth431@gmail.com</t>
  </si>
  <si>
    <t>CUST0432</t>
  </si>
  <si>
    <t>Radha Sharma</t>
  </si>
  <si>
    <t>9200538326</t>
  </si>
  <si>
    <t>radha432@gmail.com</t>
  </si>
  <si>
    <t>CUST0433</t>
  </si>
  <si>
    <t>Uma Nair</t>
  </si>
  <si>
    <t>9629194227</t>
  </si>
  <si>
    <t>uma433@gmail.com</t>
  </si>
  <si>
    <t>CUST0434</t>
  </si>
  <si>
    <t>Poornima Devi</t>
  </si>
  <si>
    <t>9646193521</t>
  </si>
  <si>
    <t>poornima434@gmail.com</t>
  </si>
  <si>
    <t>CUST0435</t>
  </si>
  <si>
    <t>Rajesh Devi</t>
  </si>
  <si>
    <t>9233886571</t>
  </si>
  <si>
    <t>rajesh435@gmail.com</t>
  </si>
  <si>
    <t>CUST0436</t>
  </si>
  <si>
    <t>Hari Pillai</t>
  </si>
  <si>
    <t>9556317624</t>
  </si>
  <si>
    <t>hari436@gmail.com</t>
  </si>
  <si>
    <t>CUST0437</t>
  </si>
  <si>
    <t>Vasanth Krishnan</t>
  </si>
  <si>
    <t>9754116657</t>
  </si>
  <si>
    <t>vasanth437@gmail.com</t>
  </si>
  <si>
    <t>CUST0438</t>
  </si>
  <si>
    <t>Nandhini Mudaliar</t>
  </si>
  <si>
    <t>9287705313</t>
  </si>
  <si>
    <t>nandhini438@gmail.com</t>
  </si>
  <si>
    <t>CUST0439</t>
  </si>
  <si>
    <t>Vijay Velan</t>
  </si>
  <si>
    <t>9632047514</t>
  </si>
  <si>
    <t>vijay439@gmail.com</t>
  </si>
  <si>
    <t>CUST0440</t>
  </si>
  <si>
    <t>Yazhini Reddy</t>
  </si>
  <si>
    <t>9368183364</t>
  </si>
  <si>
    <t>yazhini440@gmail.com</t>
  </si>
  <si>
    <t>CUST0441</t>
  </si>
  <si>
    <t>Hari Kumar</t>
  </si>
  <si>
    <t>9384273996</t>
  </si>
  <si>
    <t>hari441@gmail.com</t>
  </si>
  <si>
    <t>CUST0442</t>
  </si>
  <si>
    <t>Kamala Rao</t>
  </si>
  <si>
    <t>9653545056</t>
  </si>
  <si>
    <t>kamala442@gmail.com</t>
  </si>
  <si>
    <t>CUST0443</t>
  </si>
  <si>
    <t>Suresh Naicker</t>
  </si>
  <si>
    <t>9481977286</t>
  </si>
  <si>
    <t>suresh443@gmail.com</t>
  </si>
  <si>
    <t>CUST0444</t>
  </si>
  <si>
    <t>Malathi Chandran</t>
  </si>
  <si>
    <t>9105534508</t>
  </si>
  <si>
    <t>malathi444@gmail.com</t>
  </si>
  <si>
    <t>CUST0445</t>
  </si>
  <si>
    <t>Anjali Kumar</t>
  </si>
  <si>
    <t>9562572075</t>
  </si>
  <si>
    <t>anjali445@gmail.com</t>
  </si>
  <si>
    <t>CUST0446</t>
  </si>
  <si>
    <t>Ramesh Sharma</t>
  </si>
  <si>
    <t>9232975024</t>
  </si>
  <si>
    <t>ramesh446@gmail.com</t>
  </si>
  <si>
    <t>CUST0447</t>
  </si>
  <si>
    <t>Harini Krishnan</t>
  </si>
  <si>
    <t>9605408862</t>
  </si>
  <si>
    <t>harini447@gmail.com</t>
  </si>
  <si>
    <t>CUST0448</t>
  </si>
  <si>
    <t>Sanjay Achari</t>
  </si>
  <si>
    <t>9971388578</t>
  </si>
  <si>
    <t>sanjay448@gmail.com</t>
  </si>
  <si>
    <t>CUST0449</t>
  </si>
  <si>
    <t>Sudha Sekar</t>
  </si>
  <si>
    <t>9250188999</t>
  </si>
  <si>
    <t>sudha449@gmail.com</t>
  </si>
  <si>
    <t>CUST0450</t>
  </si>
  <si>
    <t>Bhavani Chettiar</t>
  </si>
  <si>
    <t>9303546093</t>
  </si>
  <si>
    <t>bhavani450@gmail.com</t>
  </si>
  <si>
    <t>CUST0451</t>
  </si>
  <si>
    <t>Divya Nair</t>
  </si>
  <si>
    <t>9272134233</t>
  </si>
  <si>
    <t>divya451@gmail.com</t>
  </si>
  <si>
    <t>CUST0452</t>
  </si>
  <si>
    <t>Dhanya Varma</t>
  </si>
  <si>
    <t>9552147658</t>
  </si>
  <si>
    <t>dhanya452@gmail.com</t>
  </si>
  <si>
    <t>CUST0453</t>
  </si>
  <si>
    <t>Prasath Nair</t>
  </si>
  <si>
    <t>9906476640</t>
  </si>
  <si>
    <t>prasath453@gmail.com</t>
  </si>
  <si>
    <t>CUST0454</t>
  </si>
  <si>
    <t>Raghav Nair</t>
  </si>
  <si>
    <t>9217824679</t>
  </si>
  <si>
    <t>raghav454@gmail.com</t>
  </si>
  <si>
    <t>CUST0455</t>
  </si>
  <si>
    <t>Nithya Venkataraman</t>
  </si>
  <si>
    <t>9923973312</t>
  </si>
  <si>
    <t>nithya455@gmail.com</t>
  </si>
  <si>
    <t>CUST0456</t>
  </si>
  <si>
    <t>Kamala Devi</t>
  </si>
  <si>
    <t>9741117091</t>
  </si>
  <si>
    <t>kamala456@gmail.com</t>
  </si>
  <si>
    <t>CUST0457</t>
  </si>
  <si>
    <t>Nithya Raj</t>
  </si>
  <si>
    <t>9188707067</t>
  </si>
  <si>
    <t>nithya457@gmail.com</t>
  </si>
  <si>
    <t>CUST0458</t>
  </si>
  <si>
    <t>Prasath Rao</t>
  </si>
  <si>
    <t>9367862922</t>
  </si>
  <si>
    <t>prasath458@gmail.com</t>
  </si>
  <si>
    <t>CUST0459</t>
  </si>
  <si>
    <t>Hari Subramaniam</t>
  </si>
  <si>
    <t>9981122649</t>
  </si>
  <si>
    <t>hari459@gmail.com</t>
  </si>
  <si>
    <t>CUST0460</t>
  </si>
  <si>
    <t>Chandrasekar Achari</t>
  </si>
  <si>
    <t>9884321926</t>
  </si>
  <si>
    <t>chandrasekar460@gmail.com</t>
  </si>
  <si>
    <t>CUST0461</t>
  </si>
  <si>
    <t>Prakash Achari</t>
  </si>
  <si>
    <t>9229344220</t>
  </si>
  <si>
    <t>prakash461@gmail.com</t>
  </si>
  <si>
    <t>CUST0462</t>
  </si>
  <si>
    <t>Anitha Sharma</t>
  </si>
  <si>
    <t>9557739343</t>
  </si>
  <si>
    <t>anitha462@gmail.com</t>
  </si>
  <si>
    <t>CUST0463</t>
  </si>
  <si>
    <t>Gayathri Gounder</t>
  </si>
  <si>
    <t>9537332024</t>
  </si>
  <si>
    <t>gayathri463@gmail.com</t>
  </si>
  <si>
    <t>CUST0464</t>
  </si>
  <si>
    <t>Gopal Sharma</t>
  </si>
  <si>
    <t>9165873766</t>
  </si>
  <si>
    <t>gopal464@gmail.com</t>
  </si>
  <si>
    <t>CUST0465</t>
  </si>
  <si>
    <t>Madhavan Iyer</t>
  </si>
  <si>
    <t>9401244644</t>
  </si>
  <si>
    <t>madhavan465@gmail.com</t>
  </si>
  <si>
    <t>CUST0466</t>
  </si>
  <si>
    <t>Nagarajan Nair</t>
  </si>
  <si>
    <t>9143904371</t>
  </si>
  <si>
    <t>nagarajan466@gmail.com</t>
  </si>
  <si>
    <t>CUST0467</t>
  </si>
  <si>
    <t>Raghav Prabhu</t>
  </si>
  <si>
    <t>9751247855</t>
  </si>
  <si>
    <t>raghav467@gmail.com</t>
  </si>
  <si>
    <t>CUST0468</t>
  </si>
  <si>
    <t>Dinesh Kumar</t>
  </si>
  <si>
    <t>9458932723</t>
  </si>
  <si>
    <t>dinesh468@gmail.com</t>
  </si>
  <si>
    <t>CUST0469</t>
  </si>
  <si>
    <t>Kavya Kumar</t>
  </si>
  <si>
    <t>9455635895</t>
  </si>
  <si>
    <t>kavya469@gmail.com</t>
  </si>
  <si>
    <t>CUST0470</t>
  </si>
  <si>
    <t>Vijay Mudaliar</t>
  </si>
  <si>
    <t>9749306508</t>
  </si>
  <si>
    <t>vijay470@gmail.com</t>
  </si>
  <si>
    <t>CUST0471</t>
  </si>
  <si>
    <t>Latha Subramaniam</t>
  </si>
  <si>
    <t>9214209107</t>
  </si>
  <si>
    <t>latha471@gmail.com</t>
  </si>
  <si>
    <t>CUST0472</t>
  </si>
  <si>
    <t>Banu Chandran</t>
  </si>
  <si>
    <t>9977686393</t>
  </si>
  <si>
    <t>banu472@gmail.com</t>
  </si>
  <si>
    <t>CUST0473</t>
  </si>
  <si>
    <t>Gayathri Iyer</t>
  </si>
  <si>
    <t>9764657323</t>
  </si>
  <si>
    <t>gayathri473@gmail.com</t>
  </si>
  <si>
    <t>CUST0474</t>
  </si>
  <si>
    <t>Geetha Venkataraman</t>
  </si>
  <si>
    <t>9873920320</t>
  </si>
  <si>
    <t>geetha474@gmail.com</t>
  </si>
  <si>
    <t>CUST0475</t>
  </si>
  <si>
    <t>Gopal Prabhu</t>
  </si>
  <si>
    <t>9371147197</t>
  </si>
  <si>
    <t>gopal475#gmail.com</t>
  </si>
  <si>
    <t>CUST0476</t>
  </si>
  <si>
    <t>Lalitha Pillai</t>
  </si>
  <si>
    <t>9870222796</t>
  </si>
  <si>
    <t>lalitha476@gmail.com</t>
  </si>
  <si>
    <t>Patna</t>
  </si>
  <si>
    <t>Bihar</t>
  </si>
  <si>
    <t>CUST0477</t>
  </si>
  <si>
    <t>Malathi Gupta</t>
  </si>
  <si>
    <t>9641025679</t>
  </si>
  <si>
    <t>malathi477@gmail.com</t>
  </si>
  <si>
    <t>CUST0478</t>
  </si>
  <si>
    <t>Kishore Rao</t>
  </si>
  <si>
    <t>9148796435</t>
  </si>
  <si>
    <t>kishore478@gmail.com</t>
  </si>
  <si>
    <t>CUST0479</t>
  </si>
  <si>
    <t>Hariharan Raj</t>
  </si>
  <si>
    <t>9835184880</t>
  </si>
  <si>
    <t>hariharan479@gmail.com</t>
  </si>
  <si>
    <t>CUST0480</t>
  </si>
  <si>
    <t>Aishwarya Balan</t>
  </si>
  <si>
    <t>9906087827</t>
  </si>
  <si>
    <t>aishwarya480@gmail.com</t>
  </si>
  <si>
    <t>CUST0481</t>
  </si>
  <si>
    <t>Gayathri Naidu</t>
  </si>
  <si>
    <t>9391514667</t>
  </si>
  <si>
    <t>gayathri481@gmail.com</t>
  </si>
  <si>
    <t>CUST0482</t>
  </si>
  <si>
    <t>Prakash Naicker</t>
  </si>
  <si>
    <t>9848099284</t>
  </si>
  <si>
    <t>prakash482@gmail.com</t>
  </si>
  <si>
    <t>CUST0483</t>
  </si>
  <si>
    <t>Deepak Chandran</t>
  </si>
  <si>
    <t>9425784189</t>
  </si>
  <si>
    <t>deepak483@gmail.com</t>
  </si>
  <si>
    <t>CUST0484</t>
  </si>
  <si>
    <t>Anand Naidu</t>
  </si>
  <si>
    <t>9148976013</t>
  </si>
  <si>
    <t>anand484@gmail.com</t>
  </si>
  <si>
    <t>CUST0485</t>
  </si>
  <si>
    <t>Dhanush Venkataraman</t>
  </si>
  <si>
    <t>9242776948</t>
  </si>
  <si>
    <t>dhanush485@@gmail.com</t>
  </si>
  <si>
    <t>CUST0486</t>
  </si>
  <si>
    <t>Devi Pillai</t>
  </si>
  <si>
    <t>9674016932</t>
  </si>
  <si>
    <t>devi486@gmail.com</t>
  </si>
  <si>
    <t>CUST0487</t>
  </si>
  <si>
    <t>Dhanya Murugan</t>
  </si>
  <si>
    <t>9189384877</t>
  </si>
  <si>
    <t>dhanya487@gmail.com</t>
  </si>
  <si>
    <t>CUST0488</t>
  </si>
  <si>
    <t>Kannan Chettiar</t>
  </si>
  <si>
    <t>9416641463</t>
  </si>
  <si>
    <t>kannan488@gmail.com</t>
  </si>
  <si>
    <t>CUST0489</t>
  </si>
  <si>
    <t>Nagarajan Sharma</t>
  </si>
  <si>
    <t>9335449670</t>
  </si>
  <si>
    <t>nagarajan489@gmail.com</t>
  </si>
  <si>
    <t>CUST0490</t>
  </si>
  <si>
    <t>Hema Gounder</t>
  </si>
  <si>
    <t>9805789384</t>
  </si>
  <si>
    <t>hema490@gmail.com</t>
  </si>
  <si>
    <t>CUST0491</t>
  </si>
  <si>
    <t>Jagan Raj</t>
  </si>
  <si>
    <t>9376322265</t>
  </si>
  <si>
    <t>jagan491@gmail.com</t>
  </si>
  <si>
    <t>CUST0492</t>
  </si>
  <si>
    <t>Jagan Devi</t>
  </si>
  <si>
    <t>9388614830</t>
  </si>
  <si>
    <t>jagan492@gmail.com</t>
  </si>
  <si>
    <t>CUST0493</t>
  </si>
  <si>
    <t>Elango Nair</t>
  </si>
  <si>
    <t>9565900401</t>
  </si>
  <si>
    <t>elango493@gmail.com</t>
  </si>
  <si>
    <t>CUST0494</t>
  </si>
  <si>
    <t>Bhavani Reddy</t>
  </si>
  <si>
    <t>9298672324</t>
  </si>
  <si>
    <t>bhavani494@gmail.com</t>
  </si>
  <si>
    <t>CUST0495</t>
  </si>
  <si>
    <t>Bhuvana Pillai</t>
  </si>
  <si>
    <t>9795316843</t>
  </si>
  <si>
    <t>bhuvana495@gmail.com</t>
  </si>
  <si>
    <t>CUST0496</t>
  </si>
  <si>
    <t>Senthil Venkataraman</t>
  </si>
  <si>
    <t>9838054504</t>
  </si>
  <si>
    <t>senthil496@gmail.com</t>
  </si>
  <si>
    <t>CUST0497</t>
  </si>
  <si>
    <t>Vasanth Nathan</t>
  </si>
  <si>
    <t>9588578468</t>
  </si>
  <si>
    <t>vasanth497@gmail.com</t>
  </si>
  <si>
    <t>CUST0498</t>
  </si>
  <si>
    <t>Senthil Raj</t>
  </si>
  <si>
    <t>9905783320</t>
  </si>
  <si>
    <t>senthil498@gmail.com</t>
  </si>
  <si>
    <t>CUST0499</t>
  </si>
  <si>
    <t>Rajesh Rao</t>
  </si>
  <si>
    <t>9218149731</t>
  </si>
  <si>
    <t>rajesh499@gmail.com</t>
  </si>
  <si>
    <t>CUST0500</t>
  </si>
  <si>
    <t>Nandhini Prabhu</t>
  </si>
  <si>
    <t>9253153814</t>
  </si>
  <si>
    <t>nandhini500@gmail.com</t>
  </si>
  <si>
    <t>CUST0501</t>
  </si>
  <si>
    <t>Kavya Subramaniam</t>
  </si>
  <si>
    <t>9682365530</t>
  </si>
  <si>
    <t>kavya501@gmail.com</t>
  </si>
  <si>
    <t>CUST0502</t>
  </si>
  <si>
    <t>Dhanya Sekar</t>
  </si>
  <si>
    <t>9249497180</t>
  </si>
  <si>
    <t>dhanya502@gmail.com</t>
  </si>
  <si>
    <t>CUST0503</t>
  </si>
  <si>
    <t>Kamala Chandran</t>
  </si>
  <si>
    <t>9456220636</t>
  </si>
  <si>
    <t>kamala503@gmail.com</t>
  </si>
  <si>
    <t>CUST0504</t>
  </si>
  <si>
    <t>Kalpana Kumar</t>
  </si>
  <si>
    <t>9683699916</t>
  </si>
  <si>
    <t>kalpana504@gmail.com</t>
  </si>
  <si>
    <t>CUST0505</t>
  </si>
  <si>
    <t>Yazhini Sekar</t>
  </si>
  <si>
    <t>9649264485</t>
  </si>
  <si>
    <t>yazhini505@gmail.com</t>
  </si>
  <si>
    <t>CUST0506</t>
  </si>
  <si>
    <t>Pandi Subramaniam</t>
  </si>
  <si>
    <t>9343390582</t>
  </si>
  <si>
    <t>pandi506@gmail.com</t>
  </si>
  <si>
    <t>CUST0507</t>
  </si>
  <si>
    <t>Kamala Iyer</t>
  </si>
  <si>
    <t>9834887664</t>
  </si>
  <si>
    <t>kamala507@gmail.com</t>
  </si>
  <si>
    <t>CUST0508</t>
  </si>
  <si>
    <t>Priya Subramaniam</t>
  </si>
  <si>
    <t>9209238468</t>
  </si>
  <si>
    <t>priya508@gmail.com</t>
  </si>
  <si>
    <t>CUST0509</t>
  </si>
  <si>
    <t>Harini Chandran</t>
  </si>
  <si>
    <t>9487076952</t>
  </si>
  <si>
    <t>harini509@gmail.com</t>
  </si>
  <si>
    <t>CUST0510</t>
  </si>
  <si>
    <t>Esha Nair</t>
  </si>
  <si>
    <t>9669599249</t>
  </si>
  <si>
    <t>esha510@gmail.com</t>
  </si>
  <si>
    <t>CUST0511</t>
  </si>
  <si>
    <t>Venkat Chandran</t>
  </si>
  <si>
    <t>9837833207</t>
  </si>
  <si>
    <t>venkat511@gmail.com</t>
  </si>
  <si>
    <t>CUST0512</t>
  </si>
  <si>
    <t>Elango Rao</t>
  </si>
  <si>
    <t>9636066442</t>
  </si>
  <si>
    <t>elango512@gmail.com</t>
  </si>
  <si>
    <t>CUST0513</t>
  </si>
  <si>
    <t>Vani Reddy</t>
  </si>
  <si>
    <t>9259604146</t>
  </si>
  <si>
    <t>vani513@gmail.com</t>
  </si>
  <si>
    <t>CUST0514</t>
  </si>
  <si>
    <t>Naveen Rao</t>
  </si>
  <si>
    <t>9874536641</t>
  </si>
  <si>
    <t>naveen514@gmail.com</t>
  </si>
  <si>
    <t>CUST0515</t>
  </si>
  <si>
    <t>Ovi Pillai</t>
  </si>
  <si>
    <t>9558974328</t>
  </si>
  <si>
    <t>ovi515@gmail.com</t>
  </si>
  <si>
    <t>CUST0516</t>
  </si>
  <si>
    <t>Bhuvana Venkataraman</t>
  </si>
  <si>
    <t>9924134875</t>
  </si>
  <si>
    <t>bhuvana516@gmail.com</t>
  </si>
  <si>
    <t>CUST0517</t>
  </si>
  <si>
    <t>Tamil Varma</t>
  </si>
  <si>
    <t>9544469356</t>
  </si>
  <si>
    <t>tamil517@gmail.com</t>
  </si>
  <si>
    <t>CUST0518</t>
  </si>
  <si>
    <t>Raghav Kumar</t>
  </si>
  <si>
    <t>9549532354</t>
  </si>
  <si>
    <t>raghav518@gmail.com</t>
  </si>
  <si>
    <t>CUST0519</t>
  </si>
  <si>
    <t>Padma Murugan</t>
  </si>
  <si>
    <t>9981976044</t>
  </si>
  <si>
    <t>padma519@gmail.com</t>
  </si>
  <si>
    <t>CUST0520</t>
  </si>
  <si>
    <t>Anand Gounder</t>
  </si>
  <si>
    <t>9720490097</t>
  </si>
  <si>
    <t>anand520@gmail.com</t>
  </si>
  <si>
    <t>CUST0521</t>
  </si>
  <si>
    <t>Prasath Balan</t>
  </si>
  <si>
    <t>9103077456</t>
  </si>
  <si>
    <t>prasath521@gmail.com</t>
  </si>
  <si>
    <t>CUST0522</t>
  </si>
  <si>
    <t>Gayathri Naicker</t>
  </si>
  <si>
    <t>9218279447</t>
  </si>
  <si>
    <t>gayathri522@gmail.com</t>
  </si>
  <si>
    <t>CUST0523</t>
  </si>
  <si>
    <t>Mala Velan</t>
  </si>
  <si>
    <t>9594338271</t>
  </si>
  <si>
    <t>mala523@gmail.com</t>
  </si>
  <si>
    <t>CUST0524</t>
  </si>
  <si>
    <t>Ramesh Murugan</t>
  </si>
  <si>
    <t>9326277525</t>
  </si>
  <si>
    <t>ramesh524@gmail.com</t>
  </si>
  <si>
    <t>CUST0525</t>
  </si>
  <si>
    <t>Sudha Gupta</t>
  </si>
  <si>
    <t>9855874366</t>
  </si>
  <si>
    <t>sudha525@gmail.com</t>
  </si>
  <si>
    <t>CUST0526</t>
  </si>
  <si>
    <t>Deepa Krishnan</t>
  </si>
  <si>
    <t>9158071545</t>
  </si>
  <si>
    <t>deepa526@gmail.com</t>
  </si>
  <si>
    <t>CUST0527</t>
  </si>
  <si>
    <t>Gopal Varma</t>
  </si>
  <si>
    <t>9257718363</t>
  </si>
  <si>
    <t>gopal527@gmail.com</t>
  </si>
  <si>
    <t>CUST0528</t>
  </si>
  <si>
    <t>Divya Balan</t>
  </si>
  <si>
    <t>9992352458</t>
  </si>
  <si>
    <t>divya528@gmail.com</t>
  </si>
  <si>
    <t>CUST0529</t>
  </si>
  <si>
    <t>Indira Balan</t>
  </si>
  <si>
    <t>9903273909</t>
  </si>
  <si>
    <t>indira529@gmail.com</t>
  </si>
  <si>
    <t>CUST0530</t>
  </si>
  <si>
    <t>Deepak Chettiar</t>
  </si>
  <si>
    <t>9939018541</t>
  </si>
  <si>
    <t>deepak530@gmail.com</t>
  </si>
  <si>
    <t>CUST0531</t>
  </si>
  <si>
    <t>Kamala Sekar</t>
  </si>
  <si>
    <t>9789830038</t>
  </si>
  <si>
    <t>kamala531@gmail.com</t>
  </si>
  <si>
    <t>CUST0532</t>
  </si>
  <si>
    <t>Hema Sharma</t>
  </si>
  <si>
    <t>9994083442</t>
  </si>
  <si>
    <t>hema532@gmail.com</t>
  </si>
  <si>
    <t>CUST0533</t>
  </si>
  <si>
    <t>Madhavan Murugan</t>
  </si>
  <si>
    <t>9638881430</t>
  </si>
  <si>
    <t>madhavan533@gmail.com</t>
  </si>
  <si>
    <t>CUST0534</t>
  </si>
  <si>
    <t>Kalpana Nair</t>
  </si>
  <si>
    <t>9198716092</t>
  </si>
  <si>
    <t>kalpana534@gmail.com</t>
  </si>
  <si>
    <t>CUST0535</t>
  </si>
  <si>
    <t>Sundar Venkataraman</t>
  </si>
  <si>
    <t>9160126132</t>
  </si>
  <si>
    <t>sundar535@gmail.com</t>
  </si>
  <si>
    <t>CUST0536</t>
  </si>
  <si>
    <t>Hariharan Pandian</t>
  </si>
  <si>
    <t>9182902790</t>
  </si>
  <si>
    <t>hariharan536@gmail.com</t>
  </si>
  <si>
    <t>CUST0537</t>
  </si>
  <si>
    <t>Ashok Balan</t>
  </si>
  <si>
    <t>9276978815</t>
  </si>
  <si>
    <t>ashok537#gmail.com</t>
  </si>
  <si>
    <t>CUST0538</t>
  </si>
  <si>
    <t>Hemalatha Velan</t>
  </si>
  <si>
    <t>9216394564</t>
  </si>
  <si>
    <t>hemalatha538@gmail.com</t>
  </si>
  <si>
    <t>CUST0539</t>
  </si>
  <si>
    <t>Prasath Gupta</t>
  </si>
  <si>
    <t>9357193290</t>
  </si>
  <si>
    <t>prasath539@gmail.com</t>
  </si>
  <si>
    <t>CUST0540</t>
  </si>
  <si>
    <t>Thenmozhi Naicker</t>
  </si>
  <si>
    <t>9111786474</t>
  </si>
  <si>
    <t>thenmozhi540@gmail.com</t>
  </si>
  <si>
    <t>CUST0541</t>
  </si>
  <si>
    <t>Divya Reddy</t>
  </si>
  <si>
    <t>9134753576</t>
  </si>
  <si>
    <t>divya541@gmail.com</t>
  </si>
  <si>
    <t>CUST0542</t>
  </si>
  <si>
    <t>Bhuvana Devi</t>
  </si>
  <si>
    <t>9705310487</t>
  </si>
  <si>
    <t>bhuvana542gmail.com</t>
  </si>
  <si>
    <t>CUST0543</t>
  </si>
  <si>
    <t>Gopal Menon</t>
  </si>
  <si>
    <t>9109103960</t>
  </si>
  <si>
    <t>gopal543@gmail.com</t>
  </si>
  <si>
    <t>CUST0544</t>
  </si>
  <si>
    <t>Divya Raj</t>
  </si>
  <si>
    <t>9879201690</t>
  </si>
  <si>
    <t>divya544@gmail.com</t>
  </si>
  <si>
    <t>CUST0545</t>
  </si>
  <si>
    <t>Prakash Mudaliar</t>
  </si>
  <si>
    <t>9537320614</t>
  </si>
  <si>
    <t>prakash545@gmail.com</t>
  </si>
  <si>
    <t>CUST0546</t>
  </si>
  <si>
    <t>Balaji Sekar</t>
  </si>
  <si>
    <t>9730474896</t>
  </si>
  <si>
    <t>balaji546@gmail.com</t>
  </si>
  <si>
    <t>CUST0547</t>
  </si>
  <si>
    <t>Umesh Balan</t>
  </si>
  <si>
    <t>9273111886</t>
  </si>
  <si>
    <t>umesh547@gmail.com</t>
  </si>
  <si>
    <t>CUST0548</t>
  </si>
  <si>
    <t>Charulatha Gupta</t>
  </si>
  <si>
    <t>9348646474</t>
  </si>
  <si>
    <t>charulatha548@gmail.com</t>
  </si>
  <si>
    <t>CUST0549</t>
  </si>
  <si>
    <t>Chandrasekar Varma</t>
  </si>
  <si>
    <t>9654373758</t>
  </si>
  <si>
    <t>chandrasekar549@gmail.com</t>
  </si>
  <si>
    <t>CUST0550</t>
  </si>
  <si>
    <t>Hari Devi</t>
  </si>
  <si>
    <t>9412288779</t>
  </si>
  <si>
    <t>hari550@gmail.com</t>
  </si>
  <si>
    <t>CUST0551</t>
  </si>
  <si>
    <t>Jagan Pandian</t>
  </si>
  <si>
    <t>9324219451</t>
  </si>
  <si>
    <t>jagan551@gmail.com</t>
  </si>
  <si>
    <t>CUST0552</t>
  </si>
  <si>
    <t>Poornima Sharma</t>
  </si>
  <si>
    <t>9634211070</t>
  </si>
  <si>
    <t>poornima552@gmail.com</t>
  </si>
  <si>
    <t>CUST0553</t>
  </si>
  <si>
    <t>Rajesh Varma</t>
  </si>
  <si>
    <t>9956183507</t>
  </si>
  <si>
    <t>rajesh553@gmail.com</t>
  </si>
  <si>
    <t>CUST0554</t>
  </si>
  <si>
    <t>Nirmala Chandran</t>
  </si>
  <si>
    <t>9282232921</t>
  </si>
  <si>
    <t>nirmala554@gmail.com</t>
  </si>
  <si>
    <t>CUST0555</t>
  </si>
  <si>
    <t>Anjali Venkataraman</t>
  </si>
  <si>
    <t>9195809173</t>
  </si>
  <si>
    <t>anjali555@gmail.com</t>
  </si>
  <si>
    <t>CUST0556</t>
  </si>
  <si>
    <t>Chitra Naicker</t>
  </si>
  <si>
    <t>9919422169</t>
  </si>
  <si>
    <t>chitra556@gmail.com</t>
  </si>
  <si>
    <t>CUST0557</t>
  </si>
  <si>
    <t>Deepak Gupta</t>
  </si>
  <si>
    <t>9142512277</t>
  </si>
  <si>
    <t>deepak557@gmail.com</t>
  </si>
  <si>
    <t>CUST0558</t>
  </si>
  <si>
    <t>Banu Sekar</t>
  </si>
  <si>
    <t>9493775775</t>
  </si>
  <si>
    <t>banu558@gmail.com</t>
  </si>
  <si>
    <t>CUST0559</t>
  </si>
  <si>
    <t>Sundar Menon</t>
  </si>
  <si>
    <t>9832507637</t>
  </si>
  <si>
    <t>sundar559@gmail.com</t>
  </si>
  <si>
    <t>CUST0560</t>
  </si>
  <si>
    <t>Dinesh Prabhu</t>
  </si>
  <si>
    <t>9791346700</t>
  </si>
  <si>
    <t>dinesh560@gmail.com</t>
  </si>
  <si>
    <t>CUST0561</t>
  </si>
  <si>
    <t>Usha Balan</t>
  </si>
  <si>
    <t>9265959933</t>
  </si>
  <si>
    <t>usha561@gmail.com</t>
  </si>
  <si>
    <t>CUST0562</t>
  </si>
  <si>
    <t>Gopal Pandian</t>
  </si>
  <si>
    <t>9339499503</t>
  </si>
  <si>
    <t>gopal562@gmail.com</t>
  </si>
  <si>
    <t>CUST0563</t>
  </si>
  <si>
    <t>Revathi Naicker</t>
  </si>
  <si>
    <t>9603035907</t>
  </si>
  <si>
    <t>revathi563@gmail.com</t>
  </si>
  <si>
    <t>CUST0564</t>
  </si>
  <si>
    <t>Kannan Raj</t>
  </si>
  <si>
    <t>9526216314</t>
  </si>
  <si>
    <t>kannan564@gmail.com</t>
  </si>
  <si>
    <t>CUST0565</t>
  </si>
  <si>
    <t>Pandi Nathan</t>
  </si>
  <si>
    <t>9467674476</t>
  </si>
  <si>
    <t>pandi565@gmail.com</t>
  </si>
  <si>
    <t>CUST0566</t>
  </si>
  <si>
    <t>Kishore Mudaliar</t>
  </si>
  <si>
    <t>9398902947</t>
  </si>
  <si>
    <t>kishore566@gmail.com</t>
  </si>
  <si>
    <t>CUST0567</t>
  </si>
  <si>
    <t>Bharath Balan</t>
  </si>
  <si>
    <t>9787427108</t>
  </si>
  <si>
    <t>bharath567@gmail.com</t>
  </si>
  <si>
    <t>CUST0568</t>
  </si>
  <si>
    <t>Hemalatha Menon</t>
  </si>
  <si>
    <t>9968156321</t>
  </si>
  <si>
    <t>hemalatha568@gmail.com</t>
  </si>
  <si>
    <t>CUST0569</t>
  </si>
  <si>
    <t>Sathish Krishnan</t>
  </si>
  <si>
    <t>9327088752</t>
  </si>
  <si>
    <t>sathish569@gmail.com</t>
  </si>
  <si>
    <t>CUST0570</t>
  </si>
  <si>
    <t>Banu Iyer</t>
  </si>
  <si>
    <t>9252189904</t>
  </si>
  <si>
    <t>banu570@gmail.com</t>
  </si>
  <si>
    <t>CUST0571</t>
  </si>
  <si>
    <t>Nirmala Iyer</t>
  </si>
  <si>
    <t>9663476031</t>
  </si>
  <si>
    <t>nirmala571@gmail.com</t>
  </si>
  <si>
    <t>CUST0572</t>
  </si>
  <si>
    <t>Chandrasekar Balan</t>
  </si>
  <si>
    <t>9560135199</t>
  </si>
  <si>
    <t>chandrasekar572@gmail.com</t>
  </si>
  <si>
    <t>CUST0573</t>
  </si>
  <si>
    <t>Padma Varma</t>
  </si>
  <si>
    <t>9617141182</t>
  </si>
  <si>
    <t>padma573@gmail.com</t>
  </si>
  <si>
    <t>bronze</t>
  </si>
  <si>
    <t>CUST0574</t>
  </si>
  <si>
    <t>Dhanush Nathan</t>
  </si>
  <si>
    <t>9843997253</t>
  </si>
  <si>
    <t>dhanush574@gmail.com</t>
  </si>
  <si>
    <t>CUST0575</t>
  </si>
  <si>
    <t>Anjali Sharma</t>
  </si>
  <si>
    <t>9876018644</t>
  </si>
  <si>
    <t>anjali575@gmail.com</t>
  </si>
  <si>
    <t>CUST0576</t>
  </si>
  <si>
    <t>Vasanthi Chandran</t>
  </si>
  <si>
    <t>9261604880</t>
  </si>
  <si>
    <t>vasanthi576@gmail.com</t>
  </si>
  <si>
    <t>CUST0577</t>
  </si>
  <si>
    <t>Anitha Achari</t>
  </si>
  <si>
    <t>9536354332</t>
  </si>
  <si>
    <t>anitha577@gmail.com</t>
  </si>
  <si>
    <t>CUST0578</t>
  </si>
  <si>
    <t>Jagan Venkataraman</t>
  </si>
  <si>
    <t>9582462965</t>
  </si>
  <si>
    <t>jagan578@gmail.com</t>
  </si>
  <si>
    <t>CUST0579</t>
  </si>
  <si>
    <t>Pandi Nair</t>
  </si>
  <si>
    <t>9551160662</t>
  </si>
  <si>
    <t>pandi579@gmail.com</t>
  </si>
  <si>
    <t>CUST0580</t>
  </si>
  <si>
    <t>Eswari Nathan</t>
  </si>
  <si>
    <t>9325231389</t>
  </si>
  <si>
    <t>eswari580@gmail.com</t>
  </si>
  <si>
    <t>CUST0581</t>
  </si>
  <si>
    <t>Banu Naidu</t>
  </si>
  <si>
    <t>9424210400</t>
  </si>
  <si>
    <t>banu581@gmail.com</t>
  </si>
  <si>
    <t>CUST0582</t>
  </si>
  <si>
    <t>Vijay Balan</t>
  </si>
  <si>
    <t>9540649487</t>
  </si>
  <si>
    <t>vijay582@gmail.com</t>
  </si>
  <si>
    <t>CUST0583</t>
  </si>
  <si>
    <t>Sudha Achari</t>
  </si>
  <si>
    <t>9288778639</t>
  </si>
  <si>
    <t>sudha583@gmail.com</t>
  </si>
  <si>
    <t>CUST0584</t>
  </si>
  <si>
    <t>Esha Krishnan</t>
  </si>
  <si>
    <t>9568018466</t>
  </si>
  <si>
    <t>esha584@gmail.com</t>
  </si>
  <si>
    <t>CUST0585</t>
  </si>
  <si>
    <t>Pandi Prabhu</t>
  </si>
  <si>
    <t>9965371229</t>
  </si>
  <si>
    <t>pandi585@gmail.com</t>
  </si>
  <si>
    <t>CUST0586</t>
  </si>
  <si>
    <t>Meena Selvam</t>
  </si>
  <si>
    <t>9633010732</t>
  </si>
  <si>
    <t>meena586@gmail.com</t>
  </si>
  <si>
    <t>CUST0587</t>
  </si>
  <si>
    <t>Uma Iyer</t>
  </si>
  <si>
    <t>9576852350</t>
  </si>
  <si>
    <t>uma587@gmail.com</t>
  </si>
  <si>
    <t>CUST0588</t>
  </si>
  <si>
    <t>Arun Menon</t>
  </si>
  <si>
    <t>9339314901</t>
  </si>
  <si>
    <t>arun588@gmail.com</t>
  </si>
  <si>
    <t>CUST0589</t>
  </si>
  <si>
    <t>Ovi Venkataraman</t>
  </si>
  <si>
    <t>9233617038</t>
  </si>
  <si>
    <t>ovi589@gmail.com</t>
  </si>
  <si>
    <t>CUST0590</t>
  </si>
  <si>
    <t>Kavya Reddy</t>
  </si>
  <si>
    <t>9502270717</t>
  </si>
  <si>
    <t>kavya590@gmail.com</t>
  </si>
  <si>
    <t>CUST0591</t>
  </si>
  <si>
    <t>Anjali Chettiar</t>
  </si>
  <si>
    <t>9953773144</t>
  </si>
  <si>
    <t>anjali591@gmail.com</t>
  </si>
  <si>
    <t>CUST0592</t>
  </si>
  <si>
    <t>Anjali Menon</t>
  </si>
  <si>
    <t>9116675283</t>
  </si>
  <si>
    <t>anjali592@gmail.com</t>
  </si>
  <si>
    <t>CUST0593</t>
  </si>
  <si>
    <t>Balamurugan Velan</t>
  </si>
  <si>
    <t>9440881854</t>
  </si>
  <si>
    <t>balamurugan593@gmail.com</t>
  </si>
  <si>
    <t>CUST0594</t>
  </si>
  <si>
    <t>Yogesh Iyer</t>
  </si>
  <si>
    <t>9520222172</t>
  </si>
  <si>
    <t>yogesh594@gmail.com</t>
  </si>
  <si>
    <t>CUST0595</t>
  </si>
  <si>
    <t>Lalitha Devi</t>
  </si>
  <si>
    <t>9238373601</t>
  </si>
  <si>
    <t>lalitha595@gmail.com</t>
  </si>
  <si>
    <t>CUST0596</t>
  </si>
  <si>
    <t>Geetha Sharma</t>
  </si>
  <si>
    <t>9270127578</t>
  </si>
  <si>
    <t>geetha596@gmail.com</t>
  </si>
  <si>
    <t>CUST0597</t>
  </si>
  <si>
    <t>Nagarajan Gounder</t>
  </si>
  <si>
    <t>9227101749</t>
  </si>
  <si>
    <t>nagarajan597@gmail.com</t>
  </si>
  <si>
    <t>CUST0598</t>
  </si>
  <si>
    <t>Arun Subramaniam</t>
  </si>
  <si>
    <t>9270782032</t>
  </si>
  <si>
    <t>arun598@gmail.com</t>
  </si>
  <si>
    <t>CUST0599</t>
  </si>
  <si>
    <t>Kalpana Subramaniam</t>
  </si>
  <si>
    <t>9775269926</t>
  </si>
  <si>
    <t>kalpana599@gmail.com</t>
  </si>
  <si>
    <t>CUST0600</t>
  </si>
  <si>
    <t>Anitha Reddy</t>
  </si>
  <si>
    <t>9713958957</t>
  </si>
  <si>
    <t>anitha600@gmail.com</t>
  </si>
  <si>
    <t>CUST0601</t>
  </si>
  <si>
    <t>Udhay Menon</t>
  </si>
  <si>
    <t>9357399415</t>
  </si>
  <si>
    <t>udhay601@gmail.com</t>
  </si>
  <si>
    <t>CUST0602</t>
  </si>
  <si>
    <t>Harini Pandian</t>
  </si>
  <si>
    <t>9879872234</t>
  </si>
  <si>
    <t>harini602@gmail.com</t>
  </si>
  <si>
    <t>CUST0603</t>
  </si>
  <si>
    <t>Kamala Menon</t>
  </si>
  <si>
    <t>9189081236</t>
  </si>
  <si>
    <t>kamala603@gmail.com</t>
  </si>
  <si>
    <t>CUST0604</t>
  </si>
  <si>
    <t>Chandrasekar Venkataraman</t>
  </si>
  <si>
    <t>9219111815</t>
  </si>
  <si>
    <t>chandrasekar604@gmail.com</t>
  </si>
  <si>
    <t>CUST0605</t>
  </si>
  <si>
    <t>Arun Iyer</t>
  </si>
  <si>
    <t>9381314639</t>
  </si>
  <si>
    <t>arun605@gmail.com</t>
  </si>
  <si>
    <t>CUST0606</t>
  </si>
  <si>
    <t>Raghav Pandian</t>
  </si>
  <si>
    <t>9519618529</t>
  </si>
  <si>
    <t>raghav606@gmail.com</t>
  </si>
  <si>
    <t>CUST0607</t>
  </si>
  <si>
    <t>Deepa Varma</t>
  </si>
  <si>
    <t>9181940124</t>
  </si>
  <si>
    <t>deepa607@gmail.com</t>
  </si>
  <si>
    <t>CUST0608</t>
  </si>
  <si>
    <t>Prakash Gounder</t>
  </si>
  <si>
    <t>9584127135</t>
  </si>
  <si>
    <t>prakash608@gmail.com</t>
  </si>
  <si>
    <t>CUST0609</t>
  </si>
  <si>
    <t>Suresh Prabhu</t>
  </si>
  <si>
    <t>9709127131</t>
  </si>
  <si>
    <t>suresh609gmail.com</t>
  </si>
  <si>
    <t>CUST0610</t>
  </si>
  <si>
    <t>Gokul Chettiar</t>
  </si>
  <si>
    <t>9619595468</t>
  </si>
  <si>
    <t>gokul610@gmail.com</t>
  </si>
  <si>
    <t>CUST0611</t>
  </si>
  <si>
    <t>Vasanth Iyer</t>
  </si>
  <si>
    <t>9307066016</t>
  </si>
  <si>
    <t>vasanth611@gmail.com</t>
  </si>
  <si>
    <t>CUST0612</t>
  </si>
  <si>
    <t>Ramesh Naidu</t>
  </si>
  <si>
    <t>9332257365</t>
  </si>
  <si>
    <t>ramesh612@gmail.com</t>
  </si>
  <si>
    <t>CUST0613</t>
  </si>
  <si>
    <t>Meena Menon</t>
  </si>
  <si>
    <t>9189595982</t>
  </si>
  <si>
    <t>meena613@gmail.com</t>
  </si>
  <si>
    <t>CUST0614</t>
  </si>
  <si>
    <t xml:space="preserve">  Hari Gounder  </t>
  </si>
  <si>
    <t>9198751865</t>
  </si>
  <si>
    <t>hari614@gmail.com</t>
  </si>
  <si>
    <t>CUST0615</t>
  </si>
  <si>
    <t>Aishwarya Raj</t>
  </si>
  <si>
    <t>9568217996</t>
  </si>
  <si>
    <t>aishwarya615@gmail.com</t>
  </si>
  <si>
    <t>CUST0616</t>
  </si>
  <si>
    <t>Chitra Balan</t>
  </si>
  <si>
    <t>9312468211</t>
  </si>
  <si>
    <t>chitra616@gmail.com</t>
  </si>
  <si>
    <t>CUST0617</t>
  </si>
  <si>
    <t>Pandi Pandian</t>
  </si>
  <si>
    <t>9951641794</t>
  </si>
  <si>
    <t>pandi617@gmail.com</t>
  </si>
  <si>
    <t xml:space="preserve">Silver </t>
  </si>
  <si>
    <t>CUST0618</t>
  </si>
  <si>
    <t>Malathi Naidu</t>
  </si>
  <si>
    <t>9623805398</t>
  </si>
  <si>
    <t>malathi618@gmail.com</t>
  </si>
  <si>
    <t>CUST0619</t>
  </si>
  <si>
    <t>Thenmozhi Gupta</t>
  </si>
  <si>
    <t>9768845554</t>
  </si>
  <si>
    <t>thenmozhi619@gmail.com</t>
  </si>
  <si>
    <t>CUST0620</t>
  </si>
  <si>
    <t>Nagarajan Gupta</t>
  </si>
  <si>
    <t>9501537013</t>
  </si>
  <si>
    <t>nagarajan620@gmail.com</t>
  </si>
  <si>
    <t>CUST0621</t>
  </si>
  <si>
    <t>Priya Iyer</t>
  </si>
  <si>
    <t>9371725032</t>
  </si>
  <si>
    <t>priya621@gmail.com</t>
  </si>
  <si>
    <t>CUST0622</t>
  </si>
  <si>
    <t>Sangeetha Gounder</t>
  </si>
  <si>
    <t>9527678529</t>
  </si>
  <si>
    <t>sangeetha622@gmail.com</t>
  </si>
  <si>
    <t>CUST0623</t>
  </si>
  <si>
    <t>Rajesh Selvam</t>
  </si>
  <si>
    <t>9484125249</t>
  </si>
  <si>
    <t>rajesh623@gmail.com</t>
  </si>
  <si>
    <t>CUST0624</t>
  </si>
  <si>
    <t>Nithya Reddy</t>
  </si>
  <si>
    <t>9936997381</t>
  </si>
  <si>
    <t>nithya624@gmail.com</t>
  </si>
  <si>
    <t>CUST0625</t>
  </si>
  <si>
    <t>Kishore Prabhu</t>
  </si>
  <si>
    <t>9453120816</t>
  </si>
  <si>
    <t>kishore625@gmail.com</t>
  </si>
  <si>
    <t>CUST0626</t>
  </si>
  <si>
    <t>Geetha Sekar</t>
  </si>
  <si>
    <t>9171119440</t>
  </si>
  <si>
    <t>geetha626@gmail</t>
  </si>
  <si>
    <t>CUST0627</t>
  </si>
  <si>
    <t>Ishwarya Mudaliar</t>
  </si>
  <si>
    <t>9702324820</t>
  </si>
  <si>
    <t>ishwarya627@gmail.com</t>
  </si>
  <si>
    <t>CUST0628</t>
  </si>
  <si>
    <t>Deepa Subramaniam</t>
  </si>
  <si>
    <t>9793927248</t>
  </si>
  <si>
    <t>deepa628@gmail.com</t>
  </si>
  <si>
    <t>CUST0629</t>
  </si>
  <si>
    <t>Suresh Raj</t>
  </si>
  <si>
    <t>9311659485</t>
  </si>
  <si>
    <t>suresh629@gmail.com</t>
  </si>
  <si>
    <t>CUST0630</t>
  </si>
  <si>
    <t>Lakshmi Chandran</t>
  </si>
  <si>
    <t>9228053407</t>
  </si>
  <si>
    <t>lakshmi630@gmail.com</t>
  </si>
  <si>
    <t>CUST0631</t>
  </si>
  <si>
    <t>Vasanth Gupta</t>
  </si>
  <si>
    <t>9718919629</t>
  </si>
  <si>
    <t>vasanth631@gmail.com</t>
  </si>
  <si>
    <t>CUST0632</t>
  </si>
  <si>
    <t>Bharath Velan</t>
  </si>
  <si>
    <t>9595823751</t>
  </si>
  <si>
    <t>bharath632@gmail.com</t>
  </si>
  <si>
    <t>CUST0633</t>
  </si>
  <si>
    <t>Devi Mudaliar</t>
  </si>
  <si>
    <t>9142005043</t>
  </si>
  <si>
    <t>devi633@gmail.com</t>
  </si>
  <si>
    <t>CUST0634</t>
  </si>
  <si>
    <t>Chandrasekar Pandian</t>
  </si>
  <si>
    <t xml:space="preserve">Male </t>
  </si>
  <si>
    <t>9876587717</t>
  </si>
  <si>
    <t>chandrasekar634@gmail.com</t>
  </si>
  <si>
    <t>CUST0635</t>
  </si>
  <si>
    <t>Thenmozhi Rao</t>
  </si>
  <si>
    <t>9697483848</t>
  </si>
  <si>
    <t>thenmozhi635@gmail.com</t>
  </si>
  <si>
    <t>gold</t>
  </si>
  <si>
    <t>CUST0636</t>
  </si>
  <si>
    <t>Ilango Iyer</t>
  </si>
  <si>
    <t>9847814942</t>
  </si>
  <si>
    <t>ilango636@gmail.com</t>
  </si>
  <si>
    <t>CUST0637</t>
  </si>
  <si>
    <t>Deepa Devi</t>
  </si>
  <si>
    <t>9340533586</t>
  </si>
  <si>
    <t>deepa637@gmail.com</t>
  </si>
  <si>
    <t>CUST0638</t>
  </si>
  <si>
    <t>Deepak Gounder</t>
  </si>
  <si>
    <t>9877661121</t>
  </si>
  <si>
    <t>deepak638@gmail.com</t>
  </si>
  <si>
    <t>CUST0639</t>
  </si>
  <si>
    <t>Hari Raj</t>
  </si>
  <si>
    <t>9105305741</t>
  </si>
  <si>
    <t>hari639@gmail.com</t>
  </si>
  <si>
    <t>CUST0640</t>
  </si>
  <si>
    <t>Thiru Murugan</t>
  </si>
  <si>
    <t>9151543246</t>
  </si>
  <si>
    <t>thiru640@gmail.com</t>
  </si>
  <si>
    <t>CUST0641</t>
  </si>
  <si>
    <t>Charulatha Raj</t>
  </si>
  <si>
    <t>9850185649</t>
  </si>
  <si>
    <t>charulatha641@gmail.com</t>
  </si>
  <si>
    <t>CUST0642</t>
  </si>
  <si>
    <t>Harini Devi</t>
  </si>
  <si>
    <t>9442880849</t>
  </si>
  <si>
    <t>harini642@gmail.com</t>
  </si>
  <si>
    <t>CUST0643</t>
  </si>
  <si>
    <t>Arun Gounder</t>
  </si>
  <si>
    <t>9666494300</t>
  </si>
  <si>
    <t>arun643@gmail.com</t>
  </si>
  <si>
    <t>CUST0644</t>
  </si>
  <si>
    <t>Prakash Selvam</t>
  </si>
  <si>
    <t>9929620151</t>
  </si>
  <si>
    <t>prakash644@gmail.com</t>
  </si>
  <si>
    <t>CUST0645</t>
  </si>
  <si>
    <t>Kamala Velan</t>
  </si>
  <si>
    <t>9188899677</t>
  </si>
  <si>
    <t>kamala645@gmail.com</t>
  </si>
  <si>
    <t>CUST0646</t>
  </si>
  <si>
    <t>Thiru Gupta</t>
  </si>
  <si>
    <t>9183769826</t>
  </si>
  <si>
    <t>thiru646@gmail.com</t>
  </si>
  <si>
    <t>CUST0647</t>
  </si>
  <si>
    <t>Kalpana Nathan</t>
  </si>
  <si>
    <t>9332073692</t>
  </si>
  <si>
    <t>kalpana647@gmail.com</t>
  </si>
  <si>
    <t>CUST0648</t>
  </si>
  <si>
    <t>Dinesh Sekar</t>
  </si>
  <si>
    <t>9324048532</t>
  </si>
  <si>
    <t>dinesh648@gmail.com</t>
  </si>
  <si>
    <t>CUST0649</t>
  </si>
  <si>
    <t>Vasanthi Prabhu</t>
  </si>
  <si>
    <t>9860759357</t>
  </si>
  <si>
    <t>vasanthi649@gmail.com</t>
  </si>
  <si>
    <t>CUST0650</t>
  </si>
  <si>
    <t>Manoj Devi</t>
  </si>
  <si>
    <t>9334918423</t>
  </si>
  <si>
    <t>manoj650@gmail.com</t>
  </si>
  <si>
    <t>CUST0651</t>
  </si>
  <si>
    <t>Ilango Mudaliar</t>
  </si>
  <si>
    <t>9937541239</t>
  </si>
  <si>
    <t>ilango651@gmail.com</t>
  </si>
  <si>
    <t>CUST0652</t>
  </si>
  <si>
    <t>Naveen Pillai</t>
  </si>
  <si>
    <t>Femle</t>
  </si>
  <si>
    <t>9429796342</t>
  </si>
  <si>
    <t>naveen652@gmail.com</t>
  </si>
  <si>
    <t>CUST0653</t>
  </si>
  <si>
    <t>Hemalatha Kumar</t>
  </si>
  <si>
    <t>9358301976</t>
  </si>
  <si>
    <t>hemalatha653@gmail.com</t>
  </si>
  <si>
    <t>CUST0654</t>
  </si>
  <si>
    <t>Gokul Sekar</t>
  </si>
  <si>
    <t>9810694145</t>
  </si>
  <si>
    <t>gokul654@gmail.com</t>
  </si>
  <si>
    <t>CUST0655</t>
  </si>
  <si>
    <t>Sangeetha Mudaliar</t>
  </si>
  <si>
    <t>9480562915</t>
  </si>
  <si>
    <t>sangeetha655@gmail.com</t>
  </si>
  <si>
    <t>CUST0656</t>
  </si>
  <si>
    <t>Anjali Achari</t>
  </si>
  <si>
    <t>9458350064</t>
  </si>
  <si>
    <t>anjali656@gmail.com</t>
  </si>
  <si>
    <t>CUST0657</t>
  </si>
  <si>
    <t>Devi Pandian</t>
  </si>
  <si>
    <t>9510730433</t>
  </si>
  <si>
    <t>devi657@gmail.com</t>
  </si>
  <si>
    <t>CUST0658</t>
  </si>
  <si>
    <t>Udhay Subramaniam</t>
  </si>
  <si>
    <t>female</t>
  </si>
  <si>
    <t>9289671239</t>
  </si>
  <si>
    <t>udhay658@gmail.com</t>
  </si>
  <si>
    <t>CUST0659</t>
  </si>
  <si>
    <t>9217236027</t>
  </si>
  <si>
    <t>jagan659@gmail.com</t>
  </si>
  <si>
    <t>CUST0660</t>
  </si>
  <si>
    <t>Hariharan Iyer</t>
  </si>
  <si>
    <t>9157056243</t>
  </si>
  <si>
    <t>hariharan660@gmail.com</t>
  </si>
  <si>
    <t>CUST0661</t>
  </si>
  <si>
    <t>Tamil Mudaliar</t>
  </si>
  <si>
    <t>9395772367</t>
  </si>
  <si>
    <t>tamil661@gmail.com</t>
  </si>
  <si>
    <t>CUST0662</t>
  </si>
  <si>
    <t>Balamurugan Nair</t>
  </si>
  <si>
    <t>9521857514</t>
  </si>
  <si>
    <t>balamurugan662@gmail.com</t>
  </si>
  <si>
    <t>CUST0663</t>
  </si>
  <si>
    <t>Elango Raj</t>
  </si>
  <si>
    <t>9473268212</t>
  </si>
  <si>
    <t>elango663@gmail.com</t>
  </si>
  <si>
    <t>CUST0664</t>
  </si>
  <si>
    <t>Chandran Prabhu</t>
  </si>
  <si>
    <t>9298726872</t>
  </si>
  <si>
    <t>chandran664@gmail.com</t>
  </si>
  <si>
    <t>CUST0665</t>
  </si>
  <si>
    <t>Kishore Subramaniam</t>
  </si>
  <si>
    <t>9356215726</t>
  </si>
  <si>
    <t>kishore665@gmail.com</t>
  </si>
  <si>
    <t>CUST0666</t>
  </si>
  <si>
    <t>Anand Reddy</t>
  </si>
  <si>
    <t>9252292721</t>
  </si>
  <si>
    <t>anand666@gmail.com</t>
  </si>
  <si>
    <t>CUST0667</t>
  </si>
  <si>
    <t>Charulatha Achari</t>
  </si>
  <si>
    <t>9383287655</t>
  </si>
  <si>
    <t>charulatha667@gmail.com</t>
  </si>
  <si>
    <t>CUST0668</t>
  </si>
  <si>
    <t>Arun Achari</t>
  </si>
  <si>
    <t>9101080693</t>
  </si>
  <si>
    <t>arun668@gmail.com</t>
  </si>
  <si>
    <t>CUST0669</t>
  </si>
  <si>
    <t>Mani Krishnan</t>
  </si>
  <si>
    <t>9709098013</t>
  </si>
  <si>
    <t>mani669@gmail.com</t>
  </si>
  <si>
    <t>CUST0670</t>
  </si>
  <si>
    <t>Balaji Krishnan</t>
  </si>
  <si>
    <t>male</t>
  </si>
  <si>
    <t>9279642094</t>
  </si>
  <si>
    <t>balaji670@gmail.com</t>
  </si>
  <si>
    <t>CUST0671</t>
  </si>
  <si>
    <t>Nagarajan Raj</t>
  </si>
  <si>
    <t>9626844145</t>
  </si>
  <si>
    <t>nagarajan671@gmail.com</t>
  </si>
  <si>
    <t>CUST0672</t>
  </si>
  <si>
    <t>Chitra Devi</t>
  </si>
  <si>
    <t>9491152693</t>
  </si>
  <si>
    <t>chitra672@gmail.com</t>
  </si>
  <si>
    <t>CUST0673</t>
  </si>
  <si>
    <t>Hari Sharma</t>
  </si>
  <si>
    <t>9931641272</t>
  </si>
  <si>
    <t>hari673@gmail.com</t>
  </si>
  <si>
    <t>CUST0674</t>
  </si>
  <si>
    <t>Venkat Raj</t>
  </si>
  <si>
    <t>9657603687</t>
  </si>
  <si>
    <t>venkat674@gmail.com</t>
  </si>
  <si>
    <t>CUST0675</t>
  </si>
  <si>
    <t>Anand Chettiar</t>
  </si>
  <si>
    <t>9807989829</t>
  </si>
  <si>
    <t>anand675@gmail.com</t>
  </si>
  <si>
    <t>CUST0676</t>
  </si>
  <si>
    <t>Dhanush Mudaliar</t>
  </si>
  <si>
    <t>9562482630</t>
  </si>
  <si>
    <t>dhanush676@gmail.com</t>
  </si>
  <si>
    <t>CUST0677</t>
  </si>
  <si>
    <t>Kamala Naidu</t>
  </si>
  <si>
    <t>9215890734</t>
  </si>
  <si>
    <t>kamala677@gmail.com</t>
  </si>
  <si>
    <t>CUST0678</t>
  </si>
  <si>
    <t>Poornima Krishnan</t>
  </si>
  <si>
    <t>9384873724</t>
  </si>
  <si>
    <t>poornima678@gmail.com</t>
  </si>
  <si>
    <t>CUST0679</t>
  </si>
  <si>
    <t xml:space="preserve">  Thiru Prabhu  </t>
  </si>
  <si>
    <t>9432133365</t>
  </si>
  <si>
    <t>thiru679@gmail.com</t>
  </si>
  <si>
    <t>CUST0680</t>
  </si>
  <si>
    <t>Lokesh Chandran</t>
  </si>
  <si>
    <t>9232028651</t>
  </si>
  <si>
    <t>lokesh680@gmail.com</t>
  </si>
  <si>
    <t>CUST0681</t>
  </si>
  <si>
    <t>Raghav Iyer</t>
  </si>
  <si>
    <t>9218316226</t>
  </si>
  <si>
    <t>raghav681@gmail.com</t>
  </si>
  <si>
    <t>CUST0682</t>
  </si>
  <si>
    <t>Gopal Krishnan</t>
  </si>
  <si>
    <t>9411150812</t>
  </si>
  <si>
    <t>gopal682@gmail.com</t>
  </si>
  <si>
    <t>CUST0683</t>
  </si>
  <si>
    <t>Prasath Raj</t>
  </si>
  <si>
    <t>9958762678</t>
  </si>
  <si>
    <t>prasath683@gmail.com</t>
  </si>
  <si>
    <t>CUST0684</t>
  </si>
  <si>
    <t>9232538144</t>
  </si>
  <si>
    <t>dhanya684@gmail.com</t>
  </si>
  <si>
    <t>CUST0685</t>
  </si>
  <si>
    <t>Naveen Achari</t>
  </si>
  <si>
    <t>9995618851</t>
  </si>
  <si>
    <t>naveen685@gmail.com</t>
  </si>
  <si>
    <t>CUST0686</t>
  </si>
  <si>
    <t>Hemalatha Balan</t>
  </si>
  <si>
    <t>9814388348</t>
  </si>
  <si>
    <t>hemalatha686@gmail.com</t>
  </si>
  <si>
    <t>CUST0687</t>
  </si>
  <si>
    <t>Dhanush Nair</t>
  </si>
  <si>
    <t>9887109809</t>
  </si>
  <si>
    <t>dhanush687@gmail.com</t>
  </si>
  <si>
    <t>CUST0688</t>
  </si>
  <si>
    <t>Udhay Venkataraman</t>
  </si>
  <si>
    <t>9134506505</t>
  </si>
  <si>
    <t>udhay688@gmail.com</t>
  </si>
  <si>
    <t>CUST0689</t>
  </si>
  <si>
    <t>Karthik Pillai</t>
  </si>
  <si>
    <t>9528544960</t>
  </si>
  <si>
    <t>karthik689@gmail.com</t>
  </si>
  <si>
    <t>CUST0690</t>
  </si>
  <si>
    <t>Banu Menon</t>
  </si>
  <si>
    <t>9705491190</t>
  </si>
  <si>
    <t>banu690@gmail.com</t>
  </si>
  <si>
    <t>CUST0691</t>
  </si>
  <si>
    <t>Chitra Chandran</t>
  </si>
  <si>
    <t>9924269032</t>
  </si>
  <si>
    <t>chitra691@gmail.com</t>
  </si>
  <si>
    <t>CUST0692</t>
  </si>
  <si>
    <t>Ovi Mudaliar</t>
  </si>
  <si>
    <t>9427487069</t>
  </si>
  <si>
    <t>ovi692@gmail.com</t>
  </si>
  <si>
    <t>CUST0693</t>
  </si>
  <si>
    <t>Dhanush Raj</t>
  </si>
  <si>
    <t>9296894372</t>
  </si>
  <si>
    <t>dhanush693@gmail.com</t>
  </si>
  <si>
    <t>CUST0694</t>
  </si>
  <si>
    <t>Hemalatha Nathan</t>
  </si>
  <si>
    <t>9845320049</t>
  </si>
  <si>
    <t>hemalatha694@gmail.com</t>
  </si>
  <si>
    <t>CUST0695</t>
  </si>
  <si>
    <t>Kishore Sekar</t>
  </si>
  <si>
    <t>9551514516</t>
  </si>
  <si>
    <t>kishore695@gmail.com</t>
  </si>
  <si>
    <t>CUST0696</t>
  </si>
  <si>
    <t>Ramesh Krishnan</t>
  </si>
  <si>
    <t>FEMALE</t>
  </si>
  <si>
    <t>9194949900</t>
  </si>
  <si>
    <t>ramesh696@gmail.com</t>
  </si>
  <si>
    <t>CUST0697</t>
  </si>
  <si>
    <t>Radha Gounder</t>
  </si>
  <si>
    <t>9649977856</t>
  </si>
  <si>
    <t>radha697@gmail.com</t>
  </si>
  <si>
    <t>CUST0698</t>
  </si>
  <si>
    <t>Nirmala Nair</t>
  </si>
  <si>
    <t>9157483870</t>
  </si>
  <si>
    <t>nirmala698@gmail.com</t>
  </si>
  <si>
    <t>CUST0699</t>
  </si>
  <si>
    <t>Karthik Iyer</t>
  </si>
  <si>
    <t>9967026146</t>
  </si>
  <si>
    <t>karthik699@gmail.com</t>
  </si>
  <si>
    <t>CUST0700</t>
  </si>
  <si>
    <t>Radha Naicker</t>
  </si>
  <si>
    <t>9158725903</t>
  </si>
  <si>
    <t>radha700@gmail.com</t>
  </si>
  <si>
    <t>Unknown</t>
  </si>
  <si>
    <t>Raw_value</t>
  </si>
  <si>
    <t>Mapping_value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</si>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</sst>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22DD0B-77A1-49AA-96FE-89CD34C1EE46}" name="Table1" displayName="Table1" ref="A1:L701" totalsRowShown="0" headerRowDxfId="1" dataDxfId="2">
  <autoFilter ref="A1:L701" xr:uid="{AB22DD0B-77A1-49AA-96FE-89CD34C1EE46}"/>
  <tableColumns count="12">
    <tableColumn id="1" xr3:uid="{AEBA8851-91EB-4F29-BACA-1089DA44B5F2}" name="Customer_ID" dataDxfId="13"/>
    <tableColumn id="2" xr3:uid="{5EE40D39-54E2-4D3A-8D77-F26164ADD85D}" name="Customer_Name" dataDxfId="12"/>
    <tableColumn id="3" xr3:uid="{41DDE33D-22FC-4ABC-9BDF-0B0BB89D6028}" name="Gender" dataDxfId="11"/>
    <tableColumn id="4" xr3:uid="{9A2E2228-5972-4CD1-AAC7-4F98199FF157}" name="DOB" dataDxfId="10"/>
    <tableColumn id="5" xr3:uid="{29C3CD44-805F-4FB3-9AFB-DBA4BE04B3E1}" name="Phone" dataDxfId="9"/>
    <tableColumn id="6" xr3:uid="{0615E048-4BD4-4E9C-B84F-D0088E2B0E9A}" name="Email" dataDxfId="8"/>
    <tableColumn id="7" xr3:uid="{8BF1EF82-7253-4F9F-BEEC-67314F662CF7}" name="City" dataDxfId="7"/>
    <tableColumn id="8" xr3:uid="{87116D37-63CB-416A-9D1C-2AF8E91263D7}" name="State" dataDxfId="6"/>
    <tableColumn id="9" xr3:uid="{325117A9-AD3A-46BF-AB5D-5F0228CC4885}" name="Region" dataDxfId="5"/>
    <tableColumn id="10" xr3:uid="{DC38C0D8-6F03-40C1-964B-CE4B71300DF9}" name="Membership" dataDxfId="4"/>
    <tableColumn id="12" xr3:uid="{9C2950FE-95B7-4AB7-8026-92829ED136E2}" name="Column1" dataDxfId="0">
      <calculatedColumnFormula>_xlfn.XLOOKUP(TRIM(Table1[[#This Row],[Membership]]),Sheet2!$A$2:$A$7,Sheet2!$B$2:$B$7,"Checkmanually")</calculatedColumnFormula>
    </tableColumn>
    <tableColumn id="11" xr3:uid="{5A7A7640-4AB5-4FDC-87CB-249F0503BE7F}" name="Registration_Dat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7456-6969-446F-B816-8FFCA716E19B}">
  <dimension ref="A1:L701"/>
  <sheetViews>
    <sheetView tabSelected="1" workbookViewId="0">
      <selection activeCell="E15" sqref="E15"/>
    </sheetView>
  </sheetViews>
  <sheetFormatPr defaultRowHeight="15" x14ac:dyDescent="0.25"/>
  <cols>
    <col min="1" max="1" width="16.28515625" customWidth="1"/>
    <col min="2" max="2" width="24" customWidth="1"/>
    <col min="3" max="3" width="31" customWidth="1"/>
    <col min="4" max="4" width="12" customWidth="1"/>
    <col min="5" max="5" width="23.28515625" customWidth="1"/>
    <col min="6" max="6" width="27" customWidth="1"/>
    <col min="7" max="7" width="13" customWidth="1"/>
    <col min="8" max="8" width="15" customWidth="1"/>
    <col min="9" max="9" width="10.42578125" customWidth="1"/>
    <col min="10" max="10" width="15.7109375" customWidth="1"/>
    <col min="11" max="11" width="21.42578125" customWidth="1"/>
    <col min="12" max="12" width="19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2872</v>
      </c>
      <c r="L1" s="1" t="s">
        <v>10</v>
      </c>
    </row>
    <row r="2" spans="1:12" x14ac:dyDescent="0.25">
      <c r="A2" s="2" t="s">
        <v>11</v>
      </c>
      <c r="B2" s="2" t="s">
        <v>12</v>
      </c>
      <c r="C2" s="2" t="s">
        <v>13</v>
      </c>
      <c r="D2" s="3">
        <v>31272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tr">
        <f>_xlfn.XLOOKUP(TRIM(Table1[[#This Row],[Membership]]),Sheet2!$A$2:$A$7,Sheet2!$B$2:$B$7,"Checkmanually")</f>
        <v>Bronze</v>
      </c>
      <c r="L2" s="3">
        <v>44659</v>
      </c>
    </row>
    <row r="3" spans="1:12" x14ac:dyDescent="0.25">
      <c r="A3" s="2" t="s">
        <v>20</v>
      </c>
      <c r="B3" s="2" t="s">
        <v>21</v>
      </c>
      <c r="C3" s="2" t="s">
        <v>13</v>
      </c>
      <c r="D3" s="3">
        <v>21939</v>
      </c>
      <c r="E3" s="2" t="s">
        <v>22</v>
      </c>
      <c r="F3" s="2" t="s">
        <v>23</v>
      </c>
      <c r="G3" s="2" t="s">
        <v>24</v>
      </c>
      <c r="H3" s="2" t="s">
        <v>17</v>
      </c>
      <c r="I3" s="2" t="s">
        <v>18</v>
      </c>
      <c r="J3" s="2" t="s">
        <v>25</v>
      </c>
      <c r="K3" s="2" t="str">
        <f>_xlfn.XLOOKUP(TRIM(Table1[[#This Row],[Membership]]),Sheet2!$A$2:$A$7,Sheet2!$B$2:$B$7,"Checkmanually")</f>
        <v>Silver</v>
      </c>
      <c r="L3" s="3">
        <v>45809</v>
      </c>
    </row>
    <row r="4" spans="1:12" x14ac:dyDescent="0.25">
      <c r="A4" s="2" t="s">
        <v>26</v>
      </c>
      <c r="B4" s="2" t="s">
        <v>27</v>
      </c>
      <c r="C4" s="2" t="s">
        <v>13</v>
      </c>
      <c r="D4" s="3">
        <v>22236</v>
      </c>
      <c r="E4" s="2" t="s">
        <v>28</v>
      </c>
      <c r="F4" s="2" t="s">
        <v>29</v>
      </c>
      <c r="G4" s="2" t="s">
        <v>30</v>
      </c>
      <c r="H4" s="2" t="s">
        <v>17</v>
      </c>
      <c r="I4" s="2" t="s">
        <v>18</v>
      </c>
      <c r="J4" s="2" t="s">
        <v>19</v>
      </c>
      <c r="K4" s="2" t="str">
        <f>_xlfn.XLOOKUP(TRIM(Table1[[#This Row],[Membership]]),Sheet2!$A$2:$A$7,Sheet2!$B$2:$B$7,"Checkmanually")</f>
        <v>Bronze</v>
      </c>
      <c r="L4" s="3">
        <v>44349</v>
      </c>
    </row>
    <row r="5" spans="1:12" x14ac:dyDescent="0.25">
      <c r="A5" s="2" t="s">
        <v>31</v>
      </c>
      <c r="B5" s="2" t="s">
        <v>32</v>
      </c>
      <c r="C5" s="2" t="s">
        <v>33</v>
      </c>
      <c r="D5" s="3">
        <v>21314</v>
      </c>
      <c r="E5" s="2" t="s">
        <v>34</v>
      </c>
      <c r="F5" s="2" t="s">
        <v>35</v>
      </c>
      <c r="G5" s="2" t="s">
        <v>16</v>
      </c>
      <c r="H5" s="2" t="s">
        <v>17</v>
      </c>
      <c r="I5" s="2" t="s">
        <v>18</v>
      </c>
      <c r="J5" s="2" t="s">
        <v>25</v>
      </c>
      <c r="K5" s="2" t="str">
        <f>_xlfn.XLOOKUP(TRIM(Table1[[#This Row],[Membership]]),Sheet2!$A$2:$A$7,Sheet2!$B$2:$B$7,"Checkmanually")</f>
        <v>Silver</v>
      </c>
      <c r="L5" s="3">
        <v>44988</v>
      </c>
    </row>
    <row r="6" spans="1:12" x14ac:dyDescent="0.25">
      <c r="A6" s="2" t="s">
        <v>36</v>
      </c>
      <c r="B6" s="2" t="s">
        <v>37</v>
      </c>
      <c r="C6" s="2" t="s">
        <v>33</v>
      </c>
      <c r="D6" s="3">
        <v>35481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42</v>
      </c>
      <c r="J6" s="2" t="s">
        <v>25</v>
      </c>
      <c r="K6" s="2" t="str">
        <f>_xlfn.XLOOKUP(TRIM(Table1[[#This Row],[Membership]]),Sheet2!$A$2:$A$7,Sheet2!$B$2:$B$7,"Checkmanually")</f>
        <v>Silver</v>
      </c>
      <c r="L6" s="3">
        <v>45509</v>
      </c>
    </row>
    <row r="7" spans="1:12" x14ac:dyDescent="0.25">
      <c r="A7" s="2" t="s">
        <v>43</v>
      </c>
      <c r="B7" s="2" t="s">
        <v>44</v>
      </c>
      <c r="C7" s="2" t="s">
        <v>33</v>
      </c>
      <c r="D7" s="3">
        <v>38850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49</v>
      </c>
      <c r="J7" s="2" t="s">
        <v>25</v>
      </c>
      <c r="K7" s="2" t="str">
        <f>_xlfn.XLOOKUP(TRIM(Table1[[#This Row],[Membership]]),Sheet2!$A$2:$A$7,Sheet2!$B$2:$B$7,"Checkmanually")</f>
        <v>Silver</v>
      </c>
      <c r="L7" s="3">
        <v>43501</v>
      </c>
    </row>
    <row r="8" spans="1:12" x14ac:dyDescent="0.25">
      <c r="A8" s="2" t="s">
        <v>50</v>
      </c>
      <c r="B8" s="2" t="s">
        <v>51</v>
      </c>
      <c r="C8" s="2" t="s">
        <v>33</v>
      </c>
      <c r="D8" s="3">
        <v>36564</v>
      </c>
      <c r="E8" s="2" t="s">
        <v>52</v>
      </c>
      <c r="F8" s="2" t="s">
        <v>53</v>
      </c>
      <c r="G8" s="2" t="s">
        <v>54</v>
      </c>
      <c r="H8" s="2" t="s">
        <v>17</v>
      </c>
      <c r="I8" s="2" t="s">
        <v>18</v>
      </c>
      <c r="J8" s="2" t="s">
        <v>25</v>
      </c>
      <c r="K8" s="2" t="str">
        <f>_xlfn.XLOOKUP(TRIM(Table1[[#This Row],[Membership]]),Sheet2!$A$2:$A$7,Sheet2!$B$2:$B$7,"Checkmanually")</f>
        <v>Silver</v>
      </c>
      <c r="L8" s="3">
        <v>45834</v>
      </c>
    </row>
    <row r="9" spans="1:12" x14ac:dyDescent="0.25">
      <c r="A9" s="2" t="s">
        <v>55</v>
      </c>
      <c r="B9" s="2" t="s">
        <v>56</v>
      </c>
      <c r="C9" s="2" t="s">
        <v>13</v>
      </c>
      <c r="D9" s="3">
        <v>34376</v>
      </c>
      <c r="E9" s="2" t="s">
        <v>57</v>
      </c>
      <c r="F9" s="2" t="s">
        <v>58</v>
      </c>
      <c r="G9" s="2" t="s">
        <v>30</v>
      </c>
      <c r="H9" s="2" t="s">
        <v>17</v>
      </c>
      <c r="I9" s="2" t="s">
        <v>18</v>
      </c>
      <c r="J9" s="2" t="s">
        <v>25</v>
      </c>
      <c r="K9" s="2" t="str">
        <f>_xlfn.XLOOKUP(TRIM(Table1[[#This Row],[Membership]]),Sheet2!$A$2:$A$7,Sheet2!$B$2:$B$7,"Checkmanually")</f>
        <v>Silver</v>
      </c>
      <c r="L9" s="3">
        <v>43927</v>
      </c>
    </row>
    <row r="10" spans="1:12" x14ac:dyDescent="0.25">
      <c r="A10" s="2" t="s">
        <v>59</v>
      </c>
      <c r="B10" s="2" t="s">
        <v>60</v>
      </c>
      <c r="C10" s="2" t="s">
        <v>33</v>
      </c>
      <c r="D10" s="3">
        <v>37648</v>
      </c>
      <c r="E10" s="2" t="s">
        <v>61</v>
      </c>
      <c r="F10" s="2" t="s">
        <v>62</v>
      </c>
      <c r="G10" s="2" t="s">
        <v>63</v>
      </c>
      <c r="H10" s="2" t="s">
        <v>17</v>
      </c>
      <c r="I10" s="2" t="s">
        <v>18</v>
      </c>
      <c r="J10" s="2" t="s">
        <v>19</v>
      </c>
      <c r="K10" s="2" t="str">
        <f>_xlfn.XLOOKUP(TRIM(Table1[[#This Row],[Membership]]),Sheet2!$A$2:$A$7,Sheet2!$B$2:$B$7,"Checkmanually")</f>
        <v>Bronze</v>
      </c>
      <c r="L10" s="3">
        <v>43977</v>
      </c>
    </row>
    <row r="11" spans="1:12" x14ac:dyDescent="0.25">
      <c r="A11" s="2" t="s">
        <v>64</v>
      </c>
      <c r="B11" s="2" t="s">
        <v>65</v>
      </c>
      <c r="C11" s="2" t="s">
        <v>13</v>
      </c>
      <c r="D11" s="3">
        <v>33263</v>
      </c>
      <c r="E11" s="2" t="s">
        <v>66</v>
      </c>
      <c r="F11" s="2" t="s">
        <v>67</v>
      </c>
      <c r="G11" s="2" t="s">
        <v>30</v>
      </c>
      <c r="H11" s="2" t="s">
        <v>17</v>
      </c>
      <c r="I11" s="2" t="s">
        <v>18</v>
      </c>
      <c r="J11" s="2" t="s">
        <v>19</v>
      </c>
      <c r="K11" s="2" t="str">
        <f>_xlfn.XLOOKUP(TRIM(Table1[[#This Row],[Membership]]),Sheet2!$A$2:$A$7,Sheet2!$B$2:$B$7,"Checkmanually")</f>
        <v>Bronze</v>
      </c>
      <c r="L11" s="3">
        <v>44026</v>
      </c>
    </row>
    <row r="12" spans="1:12" x14ac:dyDescent="0.25">
      <c r="A12" s="2" t="s">
        <v>68</v>
      </c>
      <c r="B12" s="2" t="s">
        <v>69</v>
      </c>
      <c r="C12" s="2" t="s">
        <v>33</v>
      </c>
      <c r="D12" s="3">
        <v>39036</v>
      </c>
      <c r="E12" s="2" t="s">
        <v>70</v>
      </c>
      <c r="F12" s="2" t="s">
        <v>71</v>
      </c>
      <c r="G12" s="2" t="s">
        <v>63</v>
      </c>
      <c r="H12" s="2" t="s">
        <v>17</v>
      </c>
      <c r="I12" s="2" t="s">
        <v>18</v>
      </c>
      <c r="J12" s="2" t="s">
        <v>19</v>
      </c>
      <c r="K12" s="2" t="str">
        <f>_xlfn.XLOOKUP(TRIM(Table1[[#This Row],[Membership]]),Sheet2!$A$2:$A$7,Sheet2!$B$2:$B$7,"Checkmanually")</f>
        <v>Bronze</v>
      </c>
      <c r="L12" s="3">
        <v>43489</v>
      </c>
    </row>
    <row r="13" spans="1:12" x14ac:dyDescent="0.25">
      <c r="A13" s="2" t="s">
        <v>72</v>
      </c>
      <c r="B13" s="2" t="s">
        <v>73</v>
      </c>
      <c r="C13" s="2" t="s">
        <v>13</v>
      </c>
      <c r="D13" s="3">
        <v>37491</v>
      </c>
      <c r="E13" s="2" t="s">
        <v>74</v>
      </c>
      <c r="F13" s="2" t="s">
        <v>75</v>
      </c>
      <c r="G13" s="2" t="s">
        <v>63</v>
      </c>
      <c r="H13" s="2" t="s">
        <v>17</v>
      </c>
      <c r="I13" s="2" t="s">
        <v>18</v>
      </c>
      <c r="J13" s="2" t="s">
        <v>19</v>
      </c>
      <c r="K13" s="2" t="str">
        <f>_xlfn.XLOOKUP(TRIM(Table1[[#This Row],[Membership]]),Sheet2!$A$2:$A$7,Sheet2!$B$2:$B$7,"Checkmanually")</f>
        <v>Bronze</v>
      </c>
      <c r="L13" s="3">
        <v>45047</v>
      </c>
    </row>
    <row r="14" spans="1:12" x14ac:dyDescent="0.25">
      <c r="A14" s="2" t="s">
        <v>76</v>
      </c>
      <c r="B14" s="2" t="s">
        <v>77</v>
      </c>
      <c r="C14" s="2" t="s">
        <v>33</v>
      </c>
      <c r="D14" s="3">
        <v>29980</v>
      </c>
      <c r="E14" s="2" t="s">
        <v>78</v>
      </c>
      <c r="F14" s="2" t="s">
        <v>79</v>
      </c>
      <c r="G14" s="2" t="s">
        <v>63</v>
      </c>
      <c r="H14" s="2" t="s">
        <v>17</v>
      </c>
      <c r="I14" s="2" t="s">
        <v>18</v>
      </c>
      <c r="J14" s="2" t="s">
        <v>19</v>
      </c>
      <c r="K14" s="2" t="str">
        <f>_xlfn.XLOOKUP(TRIM(Table1[[#This Row],[Membership]]),Sheet2!$A$2:$A$7,Sheet2!$B$2:$B$7,"Checkmanually")</f>
        <v>Bronze</v>
      </c>
      <c r="L14" s="3">
        <v>45168</v>
      </c>
    </row>
    <row r="15" spans="1:12" x14ac:dyDescent="0.25">
      <c r="A15" s="2" t="s">
        <v>80</v>
      </c>
      <c r="B15" s="2" t="s">
        <v>81</v>
      </c>
      <c r="C15" s="2" t="s">
        <v>33</v>
      </c>
      <c r="D15" s="3">
        <v>33666</v>
      </c>
      <c r="E15" s="2" t="s">
        <v>82</v>
      </c>
      <c r="F15" s="2" t="s">
        <v>83</v>
      </c>
      <c r="G15" s="2" t="s">
        <v>84</v>
      </c>
      <c r="H15" s="2" t="s">
        <v>85</v>
      </c>
      <c r="I15" s="2" t="s">
        <v>18</v>
      </c>
      <c r="J15" s="2" t="s">
        <v>25</v>
      </c>
      <c r="K15" s="2" t="str">
        <f>_xlfn.XLOOKUP(TRIM(Table1[[#This Row],[Membership]]),Sheet2!$A$2:$A$7,Sheet2!$B$2:$B$7,"Checkmanually")</f>
        <v>Silver</v>
      </c>
      <c r="L15" s="3">
        <v>44748</v>
      </c>
    </row>
    <row r="16" spans="1:12" x14ac:dyDescent="0.25">
      <c r="A16" s="2" t="s">
        <v>86</v>
      </c>
      <c r="B16" s="2" t="s">
        <v>87</v>
      </c>
      <c r="C16" s="2" t="s">
        <v>33</v>
      </c>
      <c r="D16" s="3">
        <v>38032</v>
      </c>
      <c r="E16" s="2" t="s">
        <v>88</v>
      </c>
      <c r="F16" s="2" t="s">
        <v>89</v>
      </c>
      <c r="G16" s="2" t="s">
        <v>90</v>
      </c>
      <c r="H16" s="2" t="s">
        <v>91</v>
      </c>
      <c r="I16" s="2" t="s">
        <v>18</v>
      </c>
      <c r="J16" s="2" t="s">
        <v>19</v>
      </c>
      <c r="K16" s="2" t="str">
        <f>_xlfn.XLOOKUP(TRIM(Table1[[#This Row],[Membership]]),Sheet2!$A$2:$A$7,Sheet2!$B$2:$B$7,"Checkmanually")</f>
        <v>Bronze</v>
      </c>
      <c r="L16" s="3">
        <v>43840</v>
      </c>
    </row>
    <row r="17" spans="1:12" x14ac:dyDescent="0.25">
      <c r="A17" s="2" t="s">
        <v>92</v>
      </c>
      <c r="B17" s="2" t="s">
        <v>93</v>
      </c>
      <c r="C17" s="2" t="s">
        <v>13</v>
      </c>
      <c r="D17" s="3">
        <v>38992</v>
      </c>
      <c r="E17" s="2" t="s">
        <v>94</v>
      </c>
      <c r="F17" s="2" t="s">
        <v>95</v>
      </c>
      <c r="G17" s="2" t="s">
        <v>84</v>
      </c>
      <c r="H17" s="2" t="s">
        <v>85</v>
      </c>
      <c r="I17" s="2" t="s">
        <v>18</v>
      </c>
      <c r="J17" s="2" t="s">
        <v>19</v>
      </c>
      <c r="K17" s="2" t="str">
        <f>_xlfn.XLOOKUP(TRIM(Table1[[#This Row],[Membership]]),Sheet2!$A$2:$A$7,Sheet2!$B$2:$B$7,"Checkmanually")</f>
        <v>Bronze</v>
      </c>
      <c r="L17" s="3">
        <v>45145</v>
      </c>
    </row>
    <row r="18" spans="1:12" x14ac:dyDescent="0.25">
      <c r="A18" s="2" t="s">
        <v>96</v>
      </c>
      <c r="B18" s="2" t="s">
        <v>97</v>
      </c>
      <c r="C18" s="2" t="s">
        <v>33</v>
      </c>
      <c r="D18" s="3">
        <v>37546</v>
      </c>
      <c r="E18" s="2" t="s">
        <v>98</v>
      </c>
      <c r="F18" s="2" t="s">
        <v>99</v>
      </c>
      <c r="G18" s="2" t="s">
        <v>90</v>
      </c>
      <c r="H18" s="2" t="s">
        <v>91</v>
      </c>
      <c r="I18" s="2" t="s">
        <v>18</v>
      </c>
      <c r="J18" s="2" t="s">
        <v>25</v>
      </c>
      <c r="K18" s="2" t="str">
        <f>_xlfn.XLOOKUP(TRIM(Table1[[#This Row],[Membership]]),Sheet2!$A$2:$A$7,Sheet2!$B$2:$B$7,"Checkmanually")</f>
        <v>Silver</v>
      </c>
      <c r="L18" s="3">
        <v>45617</v>
      </c>
    </row>
    <row r="19" spans="1:12" x14ac:dyDescent="0.25">
      <c r="A19" s="2" t="s">
        <v>100</v>
      </c>
      <c r="B19" s="2" t="s">
        <v>101</v>
      </c>
      <c r="C19" s="2" t="s">
        <v>13</v>
      </c>
      <c r="D19" s="3">
        <v>32026</v>
      </c>
      <c r="E19" s="2" t="s">
        <v>102</v>
      </c>
      <c r="F19" s="2" t="s">
        <v>103</v>
      </c>
      <c r="G19" s="2" t="s">
        <v>104</v>
      </c>
      <c r="H19" s="2" t="s">
        <v>105</v>
      </c>
      <c r="I19" s="2" t="s">
        <v>42</v>
      </c>
      <c r="J19" s="2" t="s">
        <v>25</v>
      </c>
      <c r="K19" s="2" t="str">
        <f>_xlfn.XLOOKUP(TRIM(Table1[[#This Row],[Membership]]),Sheet2!$A$2:$A$7,Sheet2!$B$2:$B$7,"Checkmanually")</f>
        <v>Silver</v>
      </c>
      <c r="L19" s="3">
        <v>44995</v>
      </c>
    </row>
    <row r="20" spans="1:12" x14ac:dyDescent="0.25">
      <c r="A20" s="2" t="s">
        <v>106</v>
      </c>
      <c r="B20" s="2" t="s">
        <v>107</v>
      </c>
      <c r="C20" s="2" t="s">
        <v>33</v>
      </c>
      <c r="D20" s="3">
        <v>33533</v>
      </c>
      <c r="E20" s="2" t="s">
        <v>108</v>
      </c>
      <c r="F20" s="2" t="s">
        <v>109</v>
      </c>
      <c r="G20" s="2" t="s">
        <v>30</v>
      </c>
      <c r="H20" s="2" t="s">
        <v>17</v>
      </c>
      <c r="I20" s="2" t="s">
        <v>18</v>
      </c>
      <c r="J20" s="2" t="s">
        <v>110</v>
      </c>
      <c r="K20" s="2" t="str">
        <f>_xlfn.XLOOKUP(TRIM(Table1[[#This Row],[Membership]]),Sheet2!$A$2:$A$7,Sheet2!$B$2:$B$7,"Checkmanually")</f>
        <v>Gold</v>
      </c>
      <c r="L20" s="3">
        <v>44406</v>
      </c>
    </row>
    <row r="21" spans="1:12" x14ac:dyDescent="0.25">
      <c r="A21" s="2" t="s">
        <v>111</v>
      </c>
      <c r="B21" s="2" t="s">
        <v>112</v>
      </c>
      <c r="C21" s="2" t="s">
        <v>33</v>
      </c>
      <c r="D21" s="3">
        <v>28836</v>
      </c>
      <c r="E21" s="2" t="s">
        <v>113</v>
      </c>
      <c r="F21" s="2" t="s">
        <v>114</v>
      </c>
      <c r="G21" s="2" t="s">
        <v>115</v>
      </c>
      <c r="H21" s="2" t="s">
        <v>116</v>
      </c>
      <c r="I21" s="2" t="s">
        <v>42</v>
      </c>
      <c r="J21" s="2" t="s">
        <v>19</v>
      </c>
      <c r="K21" s="2" t="str">
        <f>_xlfn.XLOOKUP(TRIM(Table1[[#This Row],[Membership]]),Sheet2!$A$2:$A$7,Sheet2!$B$2:$B$7,"Checkmanually")</f>
        <v>Bronze</v>
      </c>
      <c r="L21" s="3">
        <v>44276</v>
      </c>
    </row>
    <row r="22" spans="1:12" x14ac:dyDescent="0.25">
      <c r="A22" s="2" t="s">
        <v>117</v>
      </c>
      <c r="B22" s="2" t="s">
        <v>118</v>
      </c>
      <c r="C22" s="2" t="s">
        <v>33</v>
      </c>
      <c r="D22" s="3">
        <v>27904</v>
      </c>
      <c r="E22" s="2" t="s">
        <v>119</v>
      </c>
      <c r="F22" s="2" t="s">
        <v>120</v>
      </c>
      <c r="G22" s="2" t="s">
        <v>121</v>
      </c>
      <c r="H22" s="2" t="s">
        <v>122</v>
      </c>
      <c r="I22" s="2" t="s">
        <v>18</v>
      </c>
      <c r="J22" s="2" t="s">
        <v>25</v>
      </c>
      <c r="K22" s="2" t="str">
        <f>_xlfn.XLOOKUP(TRIM(Table1[[#This Row],[Membership]]),Sheet2!$A$2:$A$7,Sheet2!$B$2:$B$7,"Checkmanually")</f>
        <v>Silver</v>
      </c>
      <c r="L22" s="3">
        <v>43566</v>
      </c>
    </row>
    <row r="23" spans="1:12" x14ac:dyDescent="0.25">
      <c r="A23" s="2" t="s">
        <v>123</v>
      </c>
      <c r="B23" s="2" t="s">
        <v>124</v>
      </c>
      <c r="C23" s="2" t="s">
        <v>13</v>
      </c>
      <c r="D23" s="3">
        <v>30265</v>
      </c>
      <c r="E23" s="2" t="s">
        <v>125</v>
      </c>
      <c r="F23" s="2" t="s">
        <v>126</v>
      </c>
      <c r="G23" s="2" t="s">
        <v>54</v>
      </c>
      <c r="H23" s="2" t="s">
        <v>17</v>
      </c>
      <c r="I23" s="2" t="s">
        <v>18</v>
      </c>
      <c r="J23" s="2" t="s">
        <v>19</v>
      </c>
      <c r="K23" s="2" t="str">
        <f>_xlfn.XLOOKUP(TRIM(Table1[[#This Row],[Membership]]),Sheet2!$A$2:$A$7,Sheet2!$B$2:$B$7,"Checkmanually")</f>
        <v>Bronze</v>
      </c>
      <c r="L23" s="3">
        <v>45002</v>
      </c>
    </row>
    <row r="24" spans="1:12" x14ac:dyDescent="0.25">
      <c r="A24" s="2" t="s">
        <v>127</v>
      </c>
      <c r="B24" s="2" t="s">
        <v>128</v>
      </c>
      <c r="C24" s="2" t="s">
        <v>13</v>
      </c>
      <c r="D24" s="3">
        <v>21302</v>
      </c>
      <c r="E24" s="2" t="s">
        <v>129</v>
      </c>
      <c r="F24" s="2" t="s">
        <v>130</v>
      </c>
      <c r="G24" s="2" t="s">
        <v>131</v>
      </c>
      <c r="H24" s="2" t="s">
        <v>91</v>
      </c>
      <c r="I24" s="2" t="s">
        <v>18</v>
      </c>
      <c r="J24" s="2" t="s">
        <v>25</v>
      </c>
      <c r="K24" s="2" t="str">
        <f>_xlfn.XLOOKUP(TRIM(Table1[[#This Row],[Membership]]),Sheet2!$A$2:$A$7,Sheet2!$B$2:$B$7,"Checkmanually")</f>
        <v>Silver</v>
      </c>
      <c r="L24" s="3">
        <v>43928</v>
      </c>
    </row>
    <row r="25" spans="1:12" x14ac:dyDescent="0.25">
      <c r="A25" s="2" t="s">
        <v>132</v>
      </c>
      <c r="B25" s="2" t="s">
        <v>133</v>
      </c>
      <c r="C25" s="2" t="s">
        <v>13</v>
      </c>
      <c r="D25" s="3">
        <v>29192</v>
      </c>
      <c r="E25" s="2" t="s">
        <v>134</v>
      </c>
      <c r="F25" s="2" t="s">
        <v>135</v>
      </c>
      <c r="G25" s="2" t="s">
        <v>16</v>
      </c>
      <c r="H25" s="2" t="s">
        <v>17</v>
      </c>
      <c r="I25" s="2" t="s">
        <v>18</v>
      </c>
      <c r="J25" s="2" t="s">
        <v>25</v>
      </c>
      <c r="K25" s="2" t="str">
        <f>_xlfn.XLOOKUP(TRIM(Table1[[#This Row],[Membership]]),Sheet2!$A$2:$A$7,Sheet2!$B$2:$B$7,"Checkmanually")</f>
        <v>Silver</v>
      </c>
      <c r="L25" s="3">
        <v>45798</v>
      </c>
    </row>
    <row r="26" spans="1:12" x14ac:dyDescent="0.25">
      <c r="A26" s="2" t="s">
        <v>136</v>
      </c>
      <c r="B26" s="2" t="s">
        <v>137</v>
      </c>
      <c r="C26" s="2" t="s">
        <v>13</v>
      </c>
      <c r="D26" s="3">
        <v>36010</v>
      </c>
      <c r="E26" s="2" t="s">
        <v>138</v>
      </c>
      <c r="F26" s="2" t="s">
        <v>139</v>
      </c>
      <c r="G26" s="2" t="s">
        <v>16</v>
      </c>
      <c r="H26" s="2" t="s">
        <v>17</v>
      </c>
      <c r="I26" s="2" t="s">
        <v>18</v>
      </c>
      <c r="J26" s="2" t="s">
        <v>19</v>
      </c>
      <c r="K26" s="2" t="str">
        <f>_xlfn.XLOOKUP(TRIM(Table1[[#This Row],[Membership]]),Sheet2!$A$2:$A$7,Sheet2!$B$2:$B$7,"Checkmanually")</f>
        <v>Bronze</v>
      </c>
      <c r="L26" s="3">
        <v>43182</v>
      </c>
    </row>
    <row r="27" spans="1:12" x14ac:dyDescent="0.25">
      <c r="A27" s="2" t="s">
        <v>140</v>
      </c>
      <c r="B27" s="2" t="s">
        <v>141</v>
      </c>
      <c r="C27" s="2" t="s">
        <v>33</v>
      </c>
      <c r="D27" s="3">
        <v>22173</v>
      </c>
      <c r="E27" s="2" t="s">
        <v>142</v>
      </c>
      <c r="F27" s="2" t="s">
        <v>143</v>
      </c>
      <c r="G27" s="2" t="s">
        <v>144</v>
      </c>
      <c r="H27" s="2" t="s">
        <v>145</v>
      </c>
      <c r="I27" s="2" t="s">
        <v>146</v>
      </c>
      <c r="J27" s="2" t="s">
        <v>19</v>
      </c>
      <c r="K27" s="2" t="str">
        <f>_xlfn.XLOOKUP(TRIM(Table1[[#This Row],[Membership]]),Sheet2!$A$2:$A$7,Sheet2!$B$2:$B$7,"Checkmanually")</f>
        <v>Bronze</v>
      </c>
      <c r="L27" s="3">
        <v>44768</v>
      </c>
    </row>
    <row r="28" spans="1:12" x14ac:dyDescent="0.25">
      <c r="A28" s="2" t="s">
        <v>147</v>
      </c>
      <c r="B28" s="2" t="s">
        <v>148</v>
      </c>
      <c r="C28" s="2" t="s">
        <v>33</v>
      </c>
      <c r="D28" s="3">
        <v>24695</v>
      </c>
      <c r="E28" s="2" t="s">
        <v>149</v>
      </c>
      <c r="F28" s="2" t="s">
        <v>150</v>
      </c>
      <c r="G28" s="2" t="s">
        <v>63</v>
      </c>
      <c r="H28" s="2" t="s">
        <v>17</v>
      </c>
      <c r="I28" s="2" t="s">
        <v>18</v>
      </c>
      <c r="J28" s="2" t="s">
        <v>25</v>
      </c>
      <c r="K28" s="2" t="str">
        <f>_xlfn.XLOOKUP(TRIM(Table1[[#This Row],[Membership]]),Sheet2!$A$2:$A$7,Sheet2!$B$2:$B$7,"Checkmanually")</f>
        <v>Silver</v>
      </c>
      <c r="L28" s="3">
        <v>44067</v>
      </c>
    </row>
    <row r="29" spans="1:12" x14ac:dyDescent="0.25">
      <c r="A29" s="2" t="s">
        <v>151</v>
      </c>
      <c r="B29" s="2" t="s">
        <v>152</v>
      </c>
      <c r="C29" s="2" t="s">
        <v>13</v>
      </c>
      <c r="D29" s="3">
        <v>37193</v>
      </c>
      <c r="E29" s="2" t="s">
        <v>153</v>
      </c>
      <c r="F29" s="2" t="s">
        <v>154</v>
      </c>
      <c r="G29" s="2" t="s">
        <v>84</v>
      </c>
      <c r="H29" s="2" t="s">
        <v>85</v>
      </c>
      <c r="I29" s="2" t="s">
        <v>18</v>
      </c>
      <c r="J29" s="2" t="s">
        <v>19</v>
      </c>
      <c r="K29" s="2" t="str">
        <f>_xlfn.XLOOKUP(TRIM(Table1[[#This Row],[Membership]]),Sheet2!$A$2:$A$7,Sheet2!$B$2:$B$7,"Checkmanually")</f>
        <v>Bronze</v>
      </c>
      <c r="L29" s="3">
        <v>45821</v>
      </c>
    </row>
    <row r="30" spans="1:12" x14ac:dyDescent="0.25">
      <c r="A30" s="2" t="s">
        <v>155</v>
      </c>
      <c r="B30" s="2" t="s">
        <v>156</v>
      </c>
      <c r="C30" s="2" t="s">
        <v>13</v>
      </c>
      <c r="D30" s="3">
        <v>23047</v>
      </c>
      <c r="E30" s="2" t="s">
        <v>157</v>
      </c>
      <c r="F30" s="2" t="s">
        <v>158</v>
      </c>
      <c r="G30" s="2" t="s">
        <v>84</v>
      </c>
      <c r="H30" s="2" t="s">
        <v>85</v>
      </c>
      <c r="I30" s="2" t="s">
        <v>18</v>
      </c>
      <c r="J30" s="2" t="s">
        <v>25</v>
      </c>
      <c r="K30" s="2" t="str">
        <f>_xlfn.XLOOKUP(TRIM(Table1[[#This Row],[Membership]]),Sheet2!$A$2:$A$7,Sheet2!$B$2:$B$7,"Checkmanually")</f>
        <v>Silver</v>
      </c>
      <c r="L30" s="3">
        <v>44076</v>
      </c>
    </row>
    <row r="31" spans="1:12" x14ac:dyDescent="0.25">
      <c r="A31" s="2" t="s">
        <v>159</v>
      </c>
      <c r="B31" s="2" t="s">
        <v>160</v>
      </c>
      <c r="C31" s="2" t="s">
        <v>13</v>
      </c>
      <c r="D31" s="3">
        <v>39237</v>
      </c>
      <c r="E31" s="2" t="s">
        <v>161</v>
      </c>
      <c r="F31" s="2" t="s">
        <v>162</v>
      </c>
      <c r="G31" s="2" t="s">
        <v>24</v>
      </c>
      <c r="H31" s="2" t="s">
        <v>17</v>
      </c>
      <c r="I31" s="2" t="s">
        <v>18</v>
      </c>
      <c r="J31" s="2" t="s">
        <v>25</v>
      </c>
      <c r="K31" s="2" t="str">
        <f>_xlfn.XLOOKUP(TRIM(Table1[[#This Row],[Membership]]),Sheet2!$A$2:$A$7,Sheet2!$B$2:$B$7,"Checkmanually")</f>
        <v>Silver</v>
      </c>
      <c r="L31" s="3">
        <v>44698</v>
      </c>
    </row>
    <row r="32" spans="1:12" x14ac:dyDescent="0.25">
      <c r="A32" s="2" t="s">
        <v>163</v>
      </c>
      <c r="B32" s="2" t="s">
        <v>164</v>
      </c>
      <c r="C32" s="2" t="s">
        <v>13</v>
      </c>
      <c r="D32" s="3">
        <v>27233</v>
      </c>
      <c r="E32" s="2" t="s">
        <v>165</v>
      </c>
      <c r="F32" s="2" t="s">
        <v>166</v>
      </c>
      <c r="G32" s="2" t="s">
        <v>54</v>
      </c>
      <c r="H32" s="2" t="s">
        <v>17</v>
      </c>
      <c r="I32" s="2" t="s">
        <v>18</v>
      </c>
      <c r="J32" s="2" t="s">
        <v>19</v>
      </c>
      <c r="K32" s="2" t="str">
        <f>_xlfn.XLOOKUP(TRIM(Table1[[#This Row],[Membership]]),Sheet2!$A$2:$A$7,Sheet2!$B$2:$B$7,"Checkmanually")</f>
        <v>Bronze</v>
      </c>
      <c r="L32" s="3">
        <v>43691</v>
      </c>
    </row>
    <row r="33" spans="1:12" x14ac:dyDescent="0.25">
      <c r="A33" s="2" t="s">
        <v>167</v>
      </c>
      <c r="B33" s="2" t="s">
        <v>168</v>
      </c>
      <c r="C33" s="2" t="s">
        <v>13</v>
      </c>
      <c r="D33" s="3">
        <v>28423</v>
      </c>
      <c r="E33" s="2" t="s">
        <v>169</v>
      </c>
      <c r="F33" s="2" t="s">
        <v>170</v>
      </c>
      <c r="G33" s="2" t="s">
        <v>30</v>
      </c>
      <c r="H33" s="2" t="s">
        <v>17</v>
      </c>
      <c r="I33" s="2" t="s">
        <v>18</v>
      </c>
      <c r="J33" s="2" t="s">
        <v>25</v>
      </c>
      <c r="K33" s="2" t="str">
        <f>_xlfn.XLOOKUP(TRIM(Table1[[#This Row],[Membership]]),Sheet2!$A$2:$A$7,Sheet2!$B$2:$B$7,"Checkmanually")</f>
        <v>Silver</v>
      </c>
      <c r="L33" s="3">
        <v>45515</v>
      </c>
    </row>
    <row r="34" spans="1:12" x14ac:dyDescent="0.25">
      <c r="A34" s="2" t="s">
        <v>171</v>
      </c>
      <c r="B34" s="2" t="s">
        <v>172</v>
      </c>
      <c r="C34" s="2" t="s">
        <v>13</v>
      </c>
      <c r="D34" s="3">
        <v>23791</v>
      </c>
      <c r="E34" s="2" t="s">
        <v>173</v>
      </c>
      <c r="F34" s="2" t="s">
        <v>174</v>
      </c>
      <c r="G34" s="2" t="s">
        <v>24</v>
      </c>
      <c r="H34" s="2" t="s">
        <v>17</v>
      </c>
      <c r="I34" s="2" t="s">
        <v>18</v>
      </c>
      <c r="J34" s="2" t="s">
        <v>19</v>
      </c>
      <c r="K34" s="2" t="str">
        <f>_xlfn.XLOOKUP(TRIM(Table1[[#This Row],[Membership]]),Sheet2!$A$2:$A$7,Sheet2!$B$2:$B$7,"Checkmanually")</f>
        <v>Bronze</v>
      </c>
      <c r="L34" s="3">
        <v>44397</v>
      </c>
    </row>
    <row r="35" spans="1:12" x14ac:dyDescent="0.25">
      <c r="A35" s="2" t="s">
        <v>175</v>
      </c>
      <c r="B35" s="2" t="s">
        <v>176</v>
      </c>
      <c r="C35" s="2" t="s">
        <v>33</v>
      </c>
      <c r="D35" s="3">
        <v>24838</v>
      </c>
      <c r="E35" s="2" t="s">
        <v>177</v>
      </c>
      <c r="F35" s="2" t="s">
        <v>178</v>
      </c>
      <c r="G35" s="2" t="s">
        <v>54</v>
      </c>
      <c r="H35" s="2" t="s">
        <v>17</v>
      </c>
      <c r="I35" s="2" t="s">
        <v>18</v>
      </c>
      <c r="J35" s="2" t="s">
        <v>19</v>
      </c>
      <c r="K35" s="2" t="str">
        <f>_xlfn.XLOOKUP(TRIM(Table1[[#This Row],[Membership]]),Sheet2!$A$2:$A$7,Sheet2!$B$2:$B$7,"Checkmanually")</f>
        <v>Bronze</v>
      </c>
      <c r="L35" s="3">
        <v>44587</v>
      </c>
    </row>
    <row r="36" spans="1:12" x14ac:dyDescent="0.25">
      <c r="A36" s="2" t="s">
        <v>179</v>
      </c>
      <c r="B36" s="2" t="s">
        <v>180</v>
      </c>
      <c r="C36" s="2" t="s">
        <v>33</v>
      </c>
      <c r="D36" s="3">
        <v>21230</v>
      </c>
      <c r="E36" s="2" t="s">
        <v>181</v>
      </c>
      <c r="F36" s="2" t="s">
        <v>182</v>
      </c>
      <c r="G36" s="2" t="s">
        <v>30</v>
      </c>
      <c r="H36" s="2" t="s">
        <v>17</v>
      </c>
      <c r="I36" s="2" t="s">
        <v>18</v>
      </c>
      <c r="J36" s="2" t="s">
        <v>183</v>
      </c>
      <c r="K36" s="2" t="str">
        <f>_xlfn.XLOOKUP(TRIM(Table1[[#This Row],[Membership]]),Sheet2!$A$2:$A$7,Sheet2!$B$2:$B$7,"Checkmanually")</f>
        <v>Gold</v>
      </c>
      <c r="L36" s="3">
        <v>45813</v>
      </c>
    </row>
    <row r="37" spans="1:12" x14ac:dyDescent="0.25">
      <c r="A37" s="2" t="s">
        <v>184</v>
      </c>
      <c r="B37" s="2" t="s">
        <v>185</v>
      </c>
      <c r="C37" s="2" t="s">
        <v>13</v>
      </c>
      <c r="D37" s="3">
        <v>32695</v>
      </c>
      <c r="E37" s="2" t="s">
        <v>186</v>
      </c>
      <c r="F37" s="2" t="s">
        <v>187</v>
      </c>
      <c r="G37" s="2" t="s">
        <v>115</v>
      </c>
      <c r="H37" s="2" t="s">
        <v>116</v>
      </c>
      <c r="I37" s="2" t="s">
        <v>42</v>
      </c>
      <c r="J37" s="2" t="s">
        <v>188</v>
      </c>
      <c r="K37" s="2" t="str">
        <f>_xlfn.XLOOKUP(TRIM(Table1[[#This Row],[Membership]]),Sheet2!$A$2:$A$7,Sheet2!$B$2:$B$7,"Checkmanually")</f>
        <v>Silver</v>
      </c>
      <c r="L37" s="3">
        <v>44367</v>
      </c>
    </row>
    <row r="38" spans="1:12" x14ac:dyDescent="0.25">
      <c r="A38" s="2" t="s">
        <v>189</v>
      </c>
      <c r="B38" s="2" t="s">
        <v>190</v>
      </c>
      <c r="C38" s="2" t="s">
        <v>33</v>
      </c>
      <c r="D38" s="3">
        <v>27835</v>
      </c>
      <c r="E38" s="2" t="s">
        <v>191</v>
      </c>
      <c r="F38" s="2" t="s">
        <v>192</v>
      </c>
      <c r="G38" s="2" t="s">
        <v>193</v>
      </c>
      <c r="H38" s="2" t="s">
        <v>193</v>
      </c>
      <c r="I38" s="2" t="s">
        <v>49</v>
      </c>
      <c r="J38" s="2" t="s">
        <v>194</v>
      </c>
      <c r="K38" s="2" t="str">
        <f>_xlfn.XLOOKUP(TRIM(Table1[[#This Row],[Membership]]),Sheet2!$A$2:$A$7,Sheet2!$B$2:$B$7,"Checkmanually")</f>
        <v>Gold</v>
      </c>
      <c r="L38" s="3">
        <v>44913</v>
      </c>
    </row>
    <row r="39" spans="1:12" x14ac:dyDescent="0.25">
      <c r="A39" s="2" t="s">
        <v>195</v>
      </c>
      <c r="B39" s="2" t="s">
        <v>196</v>
      </c>
      <c r="C39" s="2" t="s">
        <v>13</v>
      </c>
      <c r="D39" s="3">
        <v>28463</v>
      </c>
      <c r="E39" s="2" t="s">
        <v>197</v>
      </c>
      <c r="F39" s="2" t="s">
        <v>198</v>
      </c>
      <c r="G39" s="2" t="s">
        <v>131</v>
      </c>
      <c r="H39" s="2" t="s">
        <v>91</v>
      </c>
      <c r="I39" s="2" t="s">
        <v>18</v>
      </c>
      <c r="J39" s="2" t="s">
        <v>19</v>
      </c>
      <c r="K39" s="2" t="str">
        <f>_xlfn.XLOOKUP(TRIM(Table1[[#This Row],[Membership]]),Sheet2!$A$2:$A$7,Sheet2!$B$2:$B$7,"Checkmanually")</f>
        <v>Bronze</v>
      </c>
      <c r="L39" s="3">
        <v>44333</v>
      </c>
    </row>
    <row r="40" spans="1:12" x14ac:dyDescent="0.25">
      <c r="A40" s="2" t="s">
        <v>199</v>
      </c>
      <c r="B40" s="2" t="s">
        <v>200</v>
      </c>
      <c r="C40" s="2" t="s">
        <v>13</v>
      </c>
      <c r="D40" s="3">
        <v>25340</v>
      </c>
      <c r="E40" s="2" t="s">
        <v>201</v>
      </c>
      <c r="F40" s="2" t="s">
        <v>202</v>
      </c>
      <c r="G40" s="2" t="s">
        <v>144</v>
      </c>
      <c r="H40" s="2" t="s">
        <v>145</v>
      </c>
      <c r="I40" s="2" t="s">
        <v>146</v>
      </c>
      <c r="J40" s="2" t="s">
        <v>25</v>
      </c>
      <c r="K40" s="2" t="str">
        <f>_xlfn.XLOOKUP(TRIM(Table1[[#This Row],[Membership]]),Sheet2!$A$2:$A$7,Sheet2!$B$2:$B$7,"Checkmanually")</f>
        <v>Silver</v>
      </c>
      <c r="L40" s="3">
        <v>44898</v>
      </c>
    </row>
    <row r="41" spans="1:12" x14ac:dyDescent="0.25">
      <c r="A41" s="2" t="s">
        <v>203</v>
      </c>
      <c r="B41" s="2" t="s">
        <v>204</v>
      </c>
      <c r="C41" s="2" t="s">
        <v>33</v>
      </c>
      <c r="D41" s="3">
        <v>29069</v>
      </c>
      <c r="E41" s="2" t="s">
        <v>205</v>
      </c>
      <c r="F41" s="2" t="s">
        <v>206</v>
      </c>
      <c r="G41" s="2" t="s">
        <v>131</v>
      </c>
      <c r="H41" s="2" t="s">
        <v>91</v>
      </c>
      <c r="I41" s="2" t="s">
        <v>18</v>
      </c>
      <c r="J41" s="2" t="s">
        <v>19</v>
      </c>
      <c r="K41" s="2" t="str">
        <f>_xlfn.XLOOKUP(TRIM(Table1[[#This Row],[Membership]]),Sheet2!$A$2:$A$7,Sheet2!$B$2:$B$7,"Checkmanually")</f>
        <v>Bronze</v>
      </c>
      <c r="L41" s="3">
        <v>43429</v>
      </c>
    </row>
    <row r="42" spans="1:12" x14ac:dyDescent="0.25">
      <c r="A42" s="2" t="s">
        <v>207</v>
      </c>
      <c r="B42" s="2" t="s">
        <v>208</v>
      </c>
      <c r="C42" s="2" t="s">
        <v>13</v>
      </c>
      <c r="D42" s="3">
        <v>33621</v>
      </c>
      <c r="E42" s="2" t="s">
        <v>209</v>
      </c>
      <c r="F42" s="2" t="s">
        <v>210</v>
      </c>
      <c r="G42" s="2" t="s">
        <v>90</v>
      </c>
      <c r="H42" s="2" t="s">
        <v>91</v>
      </c>
      <c r="I42" s="2" t="s">
        <v>18</v>
      </c>
      <c r="J42" s="2" t="s">
        <v>25</v>
      </c>
      <c r="K42" s="2" t="str">
        <f>_xlfn.XLOOKUP(TRIM(Table1[[#This Row],[Membership]]),Sheet2!$A$2:$A$7,Sheet2!$B$2:$B$7,"Checkmanually")</f>
        <v>Silver</v>
      </c>
      <c r="L42" s="3">
        <v>44463</v>
      </c>
    </row>
    <row r="43" spans="1:12" x14ac:dyDescent="0.25">
      <c r="A43" s="2" t="s">
        <v>211</v>
      </c>
      <c r="B43" s="2" t="s">
        <v>212</v>
      </c>
      <c r="C43" s="2" t="s">
        <v>13</v>
      </c>
      <c r="D43" s="3">
        <v>28641</v>
      </c>
      <c r="E43" s="2" t="s">
        <v>213</v>
      </c>
      <c r="F43" s="2" t="s">
        <v>214</v>
      </c>
      <c r="G43" s="2" t="s">
        <v>63</v>
      </c>
      <c r="H43" s="2" t="s">
        <v>17</v>
      </c>
      <c r="I43" s="2" t="s">
        <v>18</v>
      </c>
      <c r="J43" s="2" t="s">
        <v>215</v>
      </c>
      <c r="K43" s="2" t="str">
        <f>_xlfn.XLOOKUP(TRIM(Table1[[#This Row],[Membership]]),Sheet2!$A$2:$A$7,Sheet2!$B$2:$B$7,"Checkmanually")</f>
        <v>Silver</v>
      </c>
      <c r="L43" s="3">
        <v>45174</v>
      </c>
    </row>
    <row r="44" spans="1:12" x14ac:dyDescent="0.25">
      <c r="A44" s="2" t="s">
        <v>216</v>
      </c>
      <c r="B44" s="2" t="s">
        <v>217</v>
      </c>
      <c r="C44" s="2" t="s">
        <v>33</v>
      </c>
      <c r="D44" s="3">
        <v>38037</v>
      </c>
      <c r="E44" s="2" t="s">
        <v>218</v>
      </c>
      <c r="F44" s="2" t="s">
        <v>219</v>
      </c>
      <c r="G44" s="2" t="s">
        <v>121</v>
      </c>
      <c r="H44" s="2" t="s">
        <v>122</v>
      </c>
      <c r="I44" s="2" t="s">
        <v>18</v>
      </c>
      <c r="J44" s="2" t="s">
        <v>19</v>
      </c>
      <c r="K44" s="2" t="str">
        <f>_xlfn.XLOOKUP(TRIM(Table1[[#This Row],[Membership]]),Sheet2!$A$2:$A$7,Sheet2!$B$2:$B$7,"Checkmanually")</f>
        <v>Bronze</v>
      </c>
      <c r="L44" s="3">
        <v>44439</v>
      </c>
    </row>
    <row r="45" spans="1:12" x14ac:dyDescent="0.25">
      <c r="A45" s="2" t="s">
        <v>220</v>
      </c>
      <c r="B45" s="2" t="s">
        <v>221</v>
      </c>
      <c r="C45" s="2" t="s">
        <v>13</v>
      </c>
      <c r="D45" s="3">
        <v>26110</v>
      </c>
      <c r="E45" s="2" t="s">
        <v>222</v>
      </c>
      <c r="F45" s="2" t="s">
        <v>223</v>
      </c>
      <c r="G45" s="2" t="s">
        <v>16</v>
      </c>
      <c r="H45" s="2" t="s">
        <v>17</v>
      </c>
      <c r="I45" s="2" t="s">
        <v>18</v>
      </c>
      <c r="J45" s="2" t="s">
        <v>19</v>
      </c>
      <c r="K45" s="2" t="str">
        <f>_xlfn.XLOOKUP(TRIM(Table1[[#This Row],[Membership]]),Sheet2!$A$2:$A$7,Sheet2!$B$2:$B$7,"Checkmanually")</f>
        <v>Bronze</v>
      </c>
      <c r="L45" s="3">
        <v>45682</v>
      </c>
    </row>
    <row r="46" spans="1:12" x14ac:dyDescent="0.25">
      <c r="A46" s="2" t="s">
        <v>224</v>
      </c>
      <c r="B46" s="2" t="s">
        <v>225</v>
      </c>
      <c r="C46" s="2" t="s">
        <v>13</v>
      </c>
      <c r="D46" s="3">
        <v>26646</v>
      </c>
      <c r="E46" s="2" t="s">
        <v>226</v>
      </c>
      <c r="F46" s="2" t="s">
        <v>227</v>
      </c>
      <c r="G46" s="2" t="s">
        <v>228</v>
      </c>
      <c r="H46" s="2" t="s">
        <v>17</v>
      </c>
      <c r="I46" s="2" t="s">
        <v>18</v>
      </c>
      <c r="J46" s="2" t="s">
        <v>183</v>
      </c>
      <c r="K46" s="2" t="str">
        <f>_xlfn.XLOOKUP(TRIM(Table1[[#This Row],[Membership]]),Sheet2!$A$2:$A$7,Sheet2!$B$2:$B$7,"Checkmanually")</f>
        <v>Gold</v>
      </c>
      <c r="L46" s="3">
        <v>45674</v>
      </c>
    </row>
    <row r="47" spans="1:12" x14ac:dyDescent="0.25">
      <c r="A47" s="2" t="s">
        <v>229</v>
      </c>
      <c r="B47" s="2" t="s">
        <v>230</v>
      </c>
      <c r="C47" s="2" t="s">
        <v>33</v>
      </c>
      <c r="D47" s="3">
        <v>28269</v>
      </c>
      <c r="E47" s="2" t="s">
        <v>231</v>
      </c>
      <c r="F47" s="2" t="s">
        <v>232</v>
      </c>
      <c r="G47" s="2" t="s">
        <v>63</v>
      </c>
      <c r="H47" s="2" t="s">
        <v>17</v>
      </c>
      <c r="I47" s="2" t="s">
        <v>18</v>
      </c>
      <c r="J47" s="2" t="s">
        <v>183</v>
      </c>
      <c r="K47" s="2" t="str">
        <f>_xlfn.XLOOKUP(TRIM(Table1[[#This Row],[Membership]]),Sheet2!$A$2:$A$7,Sheet2!$B$2:$B$7,"Checkmanually")</f>
        <v>Gold</v>
      </c>
      <c r="L47" s="3">
        <v>45216</v>
      </c>
    </row>
    <row r="48" spans="1:12" x14ac:dyDescent="0.25">
      <c r="A48" s="2" t="s">
        <v>233</v>
      </c>
      <c r="B48" s="2" t="s">
        <v>234</v>
      </c>
      <c r="C48" s="2" t="s">
        <v>13</v>
      </c>
      <c r="D48" s="3">
        <v>33535</v>
      </c>
      <c r="E48" s="2" t="s">
        <v>235</v>
      </c>
      <c r="F48" s="2" t="s">
        <v>236</v>
      </c>
      <c r="G48" s="2" t="s">
        <v>115</v>
      </c>
      <c r="H48" s="2" t="s">
        <v>116</v>
      </c>
      <c r="I48" s="2" t="s">
        <v>42</v>
      </c>
      <c r="J48" s="2" t="s">
        <v>19</v>
      </c>
      <c r="K48" s="2" t="str">
        <f>_xlfn.XLOOKUP(TRIM(Table1[[#This Row],[Membership]]),Sheet2!$A$2:$A$7,Sheet2!$B$2:$B$7,"Checkmanually")</f>
        <v>Bronze</v>
      </c>
      <c r="L48" s="3">
        <v>44409</v>
      </c>
    </row>
    <row r="49" spans="1:12" x14ac:dyDescent="0.25">
      <c r="A49" s="2" t="s">
        <v>237</v>
      </c>
      <c r="B49" s="2" t="s">
        <v>238</v>
      </c>
      <c r="C49" s="2" t="s">
        <v>33</v>
      </c>
      <c r="D49" s="3">
        <v>30824</v>
      </c>
      <c r="E49" s="2" t="s">
        <v>239</v>
      </c>
      <c r="F49" s="2" t="s">
        <v>240</v>
      </c>
      <c r="G49" s="2" t="s">
        <v>228</v>
      </c>
      <c r="H49" s="2" t="s">
        <v>17</v>
      </c>
      <c r="I49" s="2" t="s">
        <v>18</v>
      </c>
      <c r="J49" s="2" t="s">
        <v>25</v>
      </c>
      <c r="K49" s="2" t="str">
        <f>_xlfn.XLOOKUP(TRIM(Table1[[#This Row],[Membership]]),Sheet2!$A$2:$A$7,Sheet2!$B$2:$B$7,"Checkmanually")</f>
        <v>Silver</v>
      </c>
      <c r="L49" s="3">
        <v>44255</v>
      </c>
    </row>
    <row r="50" spans="1:12" x14ac:dyDescent="0.25">
      <c r="A50" s="2" t="s">
        <v>241</v>
      </c>
      <c r="B50" s="2" t="s">
        <v>242</v>
      </c>
      <c r="C50" s="2" t="s">
        <v>33</v>
      </c>
      <c r="D50" s="3">
        <v>32454</v>
      </c>
      <c r="E50" s="2" t="s">
        <v>243</v>
      </c>
      <c r="F50" s="2" t="s">
        <v>244</v>
      </c>
      <c r="G50" s="2" t="s">
        <v>24</v>
      </c>
      <c r="H50" s="2" t="s">
        <v>17</v>
      </c>
      <c r="I50" s="2" t="s">
        <v>18</v>
      </c>
      <c r="J50" s="2" t="s">
        <v>183</v>
      </c>
      <c r="K50" s="2" t="str">
        <f>_xlfn.XLOOKUP(TRIM(Table1[[#This Row],[Membership]]),Sheet2!$A$2:$A$7,Sheet2!$B$2:$B$7,"Checkmanually")</f>
        <v>Gold</v>
      </c>
      <c r="L50" s="3">
        <v>45437</v>
      </c>
    </row>
    <row r="51" spans="1:12" x14ac:dyDescent="0.25">
      <c r="A51" s="2" t="s">
        <v>245</v>
      </c>
      <c r="B51" s="2" t="s">
        <v>246</v>
      </c>
      <c r="C51" s="2" t="s">
        <v>13</v>
      </c>
      <c r="D51" s="3">
        <v>27584</v>
      </c>
      <c r="E51" s="2" t="s">
        <v>247</v>
      </c>
      <c r="F51" s="2" t="s">
        <v>248</v>
      </c>
      <c r="G51" s="2" t="s">
        <v>16</v>
      </c>
      <c r="H51" s="2" t="s">
        <v>17</v>
      </c>
      <c r="I51" s="2" t="s">
        <v>18</v>
      </c>
      <c r="J51" s="2" t="s">
        <v>19</v>
      </c>
      <c r="K51" s="2" t="str">
        <f>_xlfn.XLOOKUP(TRIM(Table1[[#This Row],[Membership]]),Sheet2!$A$2:$A$7,Sheet2!$B$2:$B$7,"Checkmanually")</f>
        <v>Bronze</v>
      </c>
      <c r="L51" s="3">
        <v>43465</v>
      </c>
    </row>
    <row r="52" spans="1:12" x14ac:dyDescent="0.25">
      <c r="A52" s="2" t="s">
        <v>249</v>
      </c>
      <c r="B52" s="2" t="s">
        <v>250</v>
      </c>
      <c r="C52" s="2" t="s">
        <v>33</v>
      </c>
      <c r="D52" s="3">
        <v>34144</v>
      </c>
      <c r="E52" s="2" t="s">
        <v>251</v>
      </c>
      <c r="F52" s="2" t="s">
        <v>252</v>
      </c>
      <c r="G52" s="2" t="s">
        <v>228</v>
      </c>
      <c r="H52" s="2" t="s">
        <v>17</v>
      </c>
      <c r="I52" s="2" t="s">
        <v>18</v>
      </c>
      <c r="J52" s="2" t="s">
        <v>183</v>
      </c>
      <c r="K52" s="2" t="str">
        <f>_xlfn.XLOOKUP(TRIM(Table1[[#This Row],[Membership]]),Sheet2!$A$2:$A$7,Sheet2!$B$2:$B$7,"Checkmanually")</f>
        <v>Gold</v>
      </c>
      <c r="L52" s="3">
        <v>45560</v>
      </c>
    </row>
    <row r="53" spans="1:12" x14ac:dyDescent="0.25">
      <c r="A53" s="2" t="s">
        <v>253</v>
      </c>
      <c r="B53" s="2" t="s">
        <v>254</v>
      </c>
      <c r="C53" s="2" t="s">
        <v>13</v>
      </c>
      <c r="D53" s="3">
        <v>38677</v>
      </c>
      <c r="E53" s="2" t="s">
        <v>255</v>
      </c>
      <c r="F53" s="2" t="s">
        <v>256</v>
      </c>
      <c r="G53" s="2" t="s">
        <v>24</v>
      </c>
      <c r="H53" s="2" t="s">
        <v>17</v>
      </c>
      <c r="I53" s="2" t="s">
        <v>18</v>
      </c>
      <c r="J53" s="2" t="s">
        <v>183</v>
      </c>
      <c r="K53" s="2" t="str">
        <f>_xlfn.XLOOKUP(TRIM(Table1[[#This Row],[Membership]]),Sheet2!$A$2:$A$7,Sheet2!$B$2:$B$7,"Checkmanually")</f>
        <v>Gold</v>
      </c>
      <c r="L53" s="3">
        <v>43581</v>
      </c>
    </row>
    <row r="54" spans="1:12" x14ac:dyDescent="0.25">
      <c r="A54" s="2" t="s">
        <v>257</v>
      </c>
      <c r="B54" s="2" t="s">
        <v>258</v>
      </c>
      <c r="C54" s="2" t="s">
        <v>33</v>
      </c>
      <c r="D54" s="3">
        <v>34957</v>
      </c>
      <c r="E54" s="2" t="s">
        <v>259</v>
      </c>
      <c r="F54" s="2" t="s">
        <v>260</v>
      </c>
      <c r="G54" s="2" t="s">
        <v>131</v>
      </c>
      <c r="H54" s="2" t="s">
        <v>91</v>
      </c>
      <c r="I54" s="2" t="s">
        <v>18</v>
      </c>
      <c r="J54" s="2" t="s">
        <v>19</v>
      </c>
      <c r="K54" s="2" t="str">
        <f>_xlfn.XLOOKUP(TRIM(Table1[[#This Row],[Membership]]),Sheet2!$A$2:$A$7,Sheet2!$B$2:$B$7,"Checkmanually")</f>
        <v>Bronze</v>
      </c>
      <c r="L54" s="3">
        <v>45860</v>
      </c>
    </row>
    <row r="55" spans="1:12" x14ac:dyDescent="0.25">
      <c r="A55" s="2" t="s">
        <v>261</v>
      </c>
      <c r="B55" s="2" t="s">
        <v>262</v>
      </c>
      <c r="C55" s="2" t="s">
        <v>33</v>
      </c>
      <c r="D55" s="3">
        <v>28812</v>
      </c>
      <c r="E55" s="2" t="s">
        <v>263</v>
      </c>
      <c r="F55" s="2" t="s">
        <v>264</v>
      </c>
      <c r="G55" s="2" t="s">
        <v>54</v>
      </c>
      <c r="H55" s="2" t="s">
        <v>17</v>
      </c>
      <c r="I55" s="2" t="s">
        <v>18</v>
      </c>
      <c r="J55" s="2" t="s">
        <v>183</v>
      </c>
      <c r="K55" s="2" t="str">
        <f>_xlfn.XLOOKUP(TRIM(Table1[[#This Row],[Membership]]),Sheet2!$A$2:$A$7,Sheet2!$B$2:$B$7,"Checkmanually")</f>
        <v>Gold</v>
      </c>
      <c r="L55" s="3">
        <v>44280</v>
      </c>
    </row>
    <row r="56" spans="1:12" x14ac:dyDescent="0.25">
      <c r="A56" s="2" t="s">
        <v>265</v>
      </c>
      <c r="B56" s="2" t="s">
        <v>266</v>
      </c>
      <c r="C56" s="2" t="s">
        <v>33</v>
      </c>
      <c r="D56" s="3">
        <v>26860</v>
      </c>
      <c r="E56" s="2" t="s">
        <v>267</v>
      </c>
      <c r="F56" s="2" t="s">
        <v>268</v>
      </c>
      <c r="G56" s="2" t="s">
        <v>228</v>
      </c>
      <c r="H56" s="2" t="s">
        <v>17</v>
      </c>
      <c r="I56" s="2" t="s">
        <v>18</v>
      </c>
      <c r="J56" s="2" t="s">
        <v>25</v>
      </c>
      <c r="K56" s="2" t="str">
        <f>_xlfn.XLOOKUP(TRIM(Table1[[#This Row],[Membership]]),Sheet2!$A$2:$A$7,Sheet2!$B$2:$B$7,"Checkmanually")</f>
        <v>Silver</v>
      </c>
      <c r="L56" s="3">
        <v>45558</v>
      </c>
    </row>
    <row r="57" spans="1:12" x14ac:dyDescent="0.25">
      <c r="A57" s="2" t="s">
        <v>269</v>
      </c>
      <c r="B57" s="2" t="s">
        <v>270</v>
      </c>
      <c r="C57" s="2" t="s">
        <v>13</v>
      </c>
      <c r="D57" s="3">
        <v>33476</v>
      </c>
      <c r="E57" s="2" t="s">
        <v>271</v>
      </c>
      <c r="F57" s="2" t="s">
        <v>272</v>
      </c>
      <c r="G57" s="2" t="s">
        <v>273</v>
      </c>
      <c r="H57" s="2" t="s">
        <v>274</v>
      </c>
      <c r="I57" s="2" t="s">
        <v>49</v>
      </c>
      <c r="J57" s="2" t="s">
        <v>25</v>
      </c>
      <c r="K57" s="2" t="str">
        <f>_xlfn.XLOOKUP(TRIM(Table1[[#This Row],[Membership]]),Sheet2!$A$2:$A$7,Sheet2!$B$2:$B$7,"Checkmanually")</f>
        <v>Silver</v>
      </c>
      <c r="L57" s="3">
        <v>43698</v>
      </c>
    </row>
    <row r="58" spans="1:12" x14ac:dyDescent="0.25">
      <c r="A58" s="2" t="s">
        <v>275</v>
      </c>
      <c r="B58" s="2" t="s">
        <v>276</v>
      </c>
      <c r="C58" s="2" t="s">
        <v>13</v>
      </c>
      <c r="D58" s="3">
        <v>34867</v>
      </c>
      <c r="E58" s="2" t="s">
        <v>277</v>
      </c>
      <c r="F58" s="2" t="s">
        <v>278</v>
      </c>
      <c r="G58" s="2" t="s">
        <v>30</v>
      </c>
      <c r="H58" s="2" t="s">
        <v>17</v>
      </c>
      <c r="I58" s="2" t="s">
        <v>18</v>
      </c>
      <c r="J58" s="2" t="s">
        <v>25</v>
      </c>
      <c r="K58" s="2" t="str">
        <f>_xlfn.XLOOKUP(TRIM(Table1[[#This Row],[Membership]]),Sheet2!$A$2:$A$7,Sheet2!$B$2:$B$7,"Checkmanually")</f>
        <v>Silver</v>
      </c>
      <c r="L58" s="3">
        <v>44118</v>
      </c>
    </row>
    <row r="59" spans="1:12" x14ac:dyDescent="0.25">
      <c r="A59" s="2" t="s">
        <v>279</v>
      </c>
      <c r="B59" s="2" t="s">
        <v>280</v>
      </c>
      <c r="C59" s="2" t="s">
        <v>13</v>
      </c>
      <c r="D59" s="3">
        <v>35454</v>
      </c>
      <c r="E59" s="2" t="s">
        <v>281</v>
      </c>
      <c r="F59" s="2" t="s">
        <v>282</v>
      </c>
      <c r="G59" s="2" t="s">
        <v>90</v>
      </c>
      <c r="H59" s="2" t="s">
        <v>91</v>
      </c>
      <c r="I59" s="2" t="s">
        <v>18</v>
      </c>
      <c r="J59" s="2" t="s">
        <v>183</v>
      </c>
      <c r="K59" s="2" t="str">
        <f>_xlfn.XLOOKUP(TRIM(Table1[[#This Row],[Membership]]),Sheet2!$A$2:$A$7,Sheet2!$B$2:$B$7,"Checkmanually")</f>
        <v>Gold</v>
      </c>
      <c r="L59" s="3">
        <v>43646</v>
      </c>
    </row>
    <row r="60" spans="1:12" x14ac:dyDescent="0.25">
      <c r="A60" s="2" t="s">
        <v>283</v>
      </c>
      <c r="B60" s="2" t="s">
        <v>284</v>
      </c>
      <c r="C60" s="2" t="s">
        <v>13</v>
      </c>
      <c r="D60" s="3">
        <v>33960</v>
      </c>
      <c r="E60" s="2" t="s">
        <v>285</v>
      </c>
      <c r="F60" s="2" t="s">
        <v>286</v>
      </c>
      <c r="G60" s="2" t="s">
        <v>273</v>
      </c>
      <c r="H60" s="2" t="s">
        <v>274</v>
      </c>
      <c r="I60" s="2" t="s">
        <v>49</v>
      </c>
      <c r="J60" s="2" t="s">
        <v>19</v>
      </c>
      <c r="K60" s="2" t="str">
        <f>_xlfn.XLOOKUP(TRIM(Table1[[#This Row],[Membership]]),Sheet2!$A$2:$A$7,Sheet2!$B$2:$B$7,"Checkmanually")</f>
        <v>Bronze</v>
      </c>
      <c r="L60" s="3">
        <v>45547</v>
      </c>
    </row>
    <row r="61" spans="1:12" x14ac:dyDescent="0.25">
      <c r="A61" s="2" t="s">
        <v>287</v>
      </c>
      <c r="B61" s="2" t="s">
        <v>288</v>
      </c>
      <c r="C61" s="2" t="s">
        <v>33</v>
      </c>
      <c r="D61" s="3">
        <v>30997</v>
      </c>
      <c r="E61" s="2" t="s">
        <v>289</v>
      </c>
      <c r="F61" s="2" t="s">
        <v>290</v>
      </c>
      <c r="G61" s="2" t="s">
        <v>84</v>
      </c>
      <c r="H61" s="2" t="s">
        <v>85</v>
      </c>
      <c r="I61" s="2" t="s">
        <v>18</v>
      </c>
      <c r="J61" s="2" t="s">
        <v>183</v>
      </c>
      <c r="K61" s="2" t="str">
        <f>_xlfn.XLOOKUP(TRIM(Table1[[#This Row],[Membership]]),Sheet2!$A$2:$A$7,Sheet2!$B$2:$B$7,"Checkmanually")</f>
        <v>Gold</v>
      </c>
      <c r="L61" s="3">
        <v>44062</v>
      </c>
    </row>
    <row r="62" spans="1:12" x14ac:dyDescent="0.25">
      <c r="A62" s="2" t="s">
        <v>291</v>
      </c>
      <c r="B62" s="2" t="s">
        <v>292</v>
      </c>
      <c r="C62" s="2" t="s">
        <v>13</v>
      </c>
      <c r="D62" s="3">
        <v>36622</v>
      </c>
      <c r="E62" s="2" t="s">
        <v>293</v>
      </c>
      <c r="F62" s="2" t="s">
        <v>294</v>
      </c>
      <c r="G62" s="2" t="s">
        <v>104</v>
      </c>
      <c r="H62" s="2" t="s">
        <v>105</v>
      </c>
      <c r="I62" s="2" t="s">
        <v>42</v>
      </c>
      <c r="J62" s="2" t="s">
        <v>183</v>
      </c>
      <c r="K62" s="2" t="str">
        <f>_xlfn.XLOOKUP(TRIM(Table1[[#This Row],[Membership]]),Sheet2!$A$2:$A$7,Sheet2!$B$2:$B$7,"Checkmanually")</f>
        <v>Gold</v>
      </c>
      <c r="L62" s="3">
        <v>45639</v>
      </c>
    </row>
    <row r="63" spans="1:12" x14ac:dyDescent="0.25">
      <c r="A63" s="2" t="s">
        <v>295</v>
      </c>
      <c r="B63" s="2" t="s">
        <v>296</v>
      </c>
      <c r="C63" s="2" t="s">
        <v>13</v>
      </c>
      <c r="D63" s="3">
        <v>24423</v>
      </c>
      <c r="E63" s="2" t="s">
        <v>297</v>
      </c>
      <c r="F63" s="2" t="s">
        <v>298</v>
      </c>
      <c r="G63" s="2" t="s">
        <v>131</v>
      </c>
      <c r="H63" s="2" t="s">
        <v>91</v>
      </c>
      <c r="I63" s="2" t="s">
        <v>18</v>
      </c>
      <c r="J63" s="2" t="s">
        <v>19</v>
      </c>
      <c r="K63" s="2" t="str">
        <f>_xlfn.XLOOKUP(TRIM(Table1[[#This Row],[Membership]]),Sheet2!$A$2:$A$7,Sheet2!$B$2:$B$7,"Checkmanually")</f>
        <v>Bronze</v>
      </c>
      <c r="L63" s="3">
        <v>45392</v>
      </c>
    </row>
    <row r="64" spans="1:12" x14ac:dyDescent="0.25">
      <c r="A64" s="2" t="s">
        <v>299</v>
      </c>
      <c r="B64" s="2" t="s">
        <v>300</v>
      </c>
      <c r="C64" s="2" t="s">
        <v>13</v>
      </c>
      <c r="D64" s="3">
        <v>36239</v>
      </c>
      <c r="E64" s="2" t="s">
        <v>301</v>
      </c>
      <c r="F64" s="2" t="s">
        <v>302</v>
      </c>
      <c r="G64" s="2" t="s">
        <v>30</v>
      </c>
      <c r="H64" s="2" t="s">
        <v>17</v>
      </c>
      <c r="I64" s="2" t="s">
        <v>18</v>
      </c>
      <c r="J64" s="2" t="s">
        <v>183</v>
      </c>
      <c r="K64" s="2" t="str">
        <f>_xlfn.XLOOKUP(TRIM(Table1[[#This Row],[Membership]]),Sheet2!$A$2:$A$7,Sheet2!$B$2:$B$7,"Checkmanually")</f>
        <v>Gold</v>
      </c>
      <c r="L64" s="3">
        <v>44490</v>
      </c>
    </row>
    <row r="65" spans="1:12" x14ac:dyDescent="0.25">
      <c r="A65" s="2" t="s">
        <v>303</v>
      </c>
      <c r="B65" s="2" t="s">
        <v>304</v>
      </c>
      <c r="C65" s="2" t="s">
        <v>13</v>
      </c>
      <c r="D65" s="3">
        <v>34276</v>
      </c>
      <c r="E65" s="2" t="s">
        <v>305</v>
      </c>
      <c r="F65" s="2" t="s">
        <v>306</v>
      </c>
      <c r="G65" s="2" t="s">
        <v>24</v>
      </c>
      <c r="H65" s="2" t="s">
        <v>17</v>
      </c>
      <c r="I65" s="2" t="s">
        <v>18</v>
      </c>
      <c r="J65" s="2" t="s">
        <v>19</v>
      </c>
      <c r="K65" s="2" t="str">
        <f>_xlfn.XLOOKUP(TRIM(Table1[[#This Row],[Membership]]),Sheet2!$A$2:$A$7,Sheet2!$B$2:$B$7,"Checkmanually")</f>
        <v>Bronze</v>
      </c>
      <c r="L65" s="3">
        <v>43681</v>
      </c>
    </row>
    <row r="66" spans="1:12" x14ac:dyDescent="0.25">
      <c r="A66" s="2" t="s">
        <v>307</v>
      </c>
      <c r="B66" s="2" t="s">
        <v>308</v>
      </c>
      <c r="C66" s="2" t="s">
        <v>33</v>
      </c>
      <c r="D66" s="3">
        <v>36448</v>
      </c>
      <c r="E66" s="2" t="s">
        <v>309</v>
      </c>
      <c r="F66" s="2" t="s">
        <v>310</v>
      </c>
      <c r="G66" s="2" t="s">
        <v>16</v>
      </c>
      <c r="H66" s="2" t="s">
        <v>17</v>
      </c>
      <c r="I66" s="2" t="s">
        <v>18</v>
      </c>
      <c r="J66" s="2" t="s">
        <v>19</v>
      </c>
      <c r="K66" s="2" t="str">
        <f>_xlfn.XLOOKUP(TRIM(Table1[[#This Row],[Membership]]),Sheet2!$A$2:$A$7,Sheet2!$B$2:$B$7,"Checkmanually")</f>
        <v>Bronze</v>
      </c>
      <c r="L66" s="3">
        <v>44251</v>
      </c>
    </row>
    <row r="67" spans="1:12" x14ac:dyDescent="0.25">
      <c r="A67" s="2" t="s">
        <v>311</v>
      </c>
      <c r="B67" s="2" t="s">
        <v>312</v>
      </c>
      <c r="C67" s="2" t="s">
        <v>13</v>
      </c>
      <c r="D67" s="3">
        <v>28715</v>
      </c>
      <c r="E67" s="2" t="s">
        <v>313</v>
      </c>
      <c r="F67" s="2" t="s">
        <v>314</v>
      </c>
      <c r="G67" s="2" t="s">
        <v>131</v>
      </c>
      <c r="H67" s="2" t="s">
        <v>91</v>
      </c>
      <c r="I67" s="2" t="s">
        <v>18</v>
      </c>
      <c r="J67" s="2" t="s">
        <v>25</v>
      </c>
      <c r="K67" s="2" t="str">
        <f>_xlfn.XLOOKUP(TRIM(Table1[[#This Row],[Membership]]),Sheet2!$A$2:$A$7,Sheet2!$B$2:$B$7,"Checkmanually")</f>
        <v>Silver</v>
      </c>
      <c r="L67" s="3">
        <v>45611</v>
      </c>
    </row>
    <row r="68" spans="1:12" x14ac:dyDescent="0.25">
      <c r="A68" s="2" t="s">
        <v>315</v>
      </c>
      <c r="B68" s="2" t="s">
        <v>2869</v>
      </c>
      <c r="C68" s="2" t="s">
        <v>13</v>
      </c>
      <c r="D68" s="3">
        <v>34369</v>
      </c>
      <c r="E68" s="2" t="s">
        <v>316</v>
      </c>
      <c r="F68" s="2" t="s">
        <v>317</v>
      </c>
      <c r="G68" s="2" t="s">
        <v>30</v>
      </c>
      <c r="H68" s="2" t="s">
        <v>17</v>
      </c>
      <c r="I68" s="2" t="s">
        <v>18</v>
      </c>
      <c r="J68" s="2" t="s">
        <v>25</v>
      </c>
      <c r="K68" s="2" t="str">
        <f>_xlfn.XLOOKUP(TRIM(Table1[[#This Row],[Membership]]),Sheet2!$A$2:$A$7,Sheet2!$B$2:$B$7,"Checkmanually")</f>
        <v>Silver</v>
      </c>
      <c r="L68" s="3">
        <v>43776</v>
      </c>
    </row>
    <row r="69" spans="1:12" x14ac:dyDescent="0.25">
      <c r="A69" s="2" t="s">
        <v>318</v>
      </c>
      <c r="B69" s="2" t="s">
        <v>319</v>
      </c>
      <c r="C69" s="2" t="s">
        <v>33</v>
      </c>
      <c r="D69" s="3">
        <v>25046</v>
      </c>
      <c r="E69" s="2" t="s">
        <v>320</v>
      </c>
      <c r="F69" s="2" t="s">
        <v>321</v>
      </c>
      <c r="G69" s="2" t="s">
        <v>90</v>
      </c>
      <c r="H69" s="2" t="s">
        <v>91</v>
      </c>
      <c r="I69" s="2" t="s">
        <v>18</v>
      </c>
      <c r="J69" s="2" t="s">
        <v>19</v>
      </c>
      <c r="K69" s="2" t="str">
        <f>_xlfn.XLOOKUP(TRIM(Table1[[#This Row],[Membership]]),Sheet2!$A$2:$A$7,Sheet2!$B$2:$B$7,"Checkmanually")</f>
        <v>Bronze</v>
      </c>
      <c r="L69" s="3">
        <v>45377</v>
      </c>
    </row>
    <row r="70" spans="1:12" x14ac:dyDescent="0.25">
      <c r="A70" s="2" t="s">
        <v>322</v>
      </c>
      <c r="B70" s="2" t="s">
        <v>323</v>
      </c>
      <c r="C70" s="2" t="s">
        <v>13</v>
      </c>
      <c r="D70" s="3">
        <v>24960</v>
      </c>
      <c r="E70" s="2" t="s">
        <v>324</v>
      </c>
      <c r="F70" s="2" t="s">
        <v>325</v>
      </c>
      <c r="G70" s="2" t="s">
        <v>90</v>
      </c>
      <c r="H70" s="2" t="s">
        <v>91</v>
      </c>
      <c r="I70" s="2" t="s">
        <v>18</v>
      </c>
      <c r="J70" s="2" t="s">
        <v>183</v>
      </c>
      <c r="K70" s="2" t="str">
        <f>_xlfn.XLOOKUP(TRIM(Table1[[#This Row],[Membership]]),Sheet2!$A$2:$A$7,Sheet2!$B$2:$B$7,"Checkmanually")</f>
        <v>Gold</v>
      </c>
      <c r="L70" s="3">
        <v>43324</v>
      </c>
    </row>
    <row r="71" spans="1:12" x14ac:dyDescent="0.25">
      <c r="A71" s="2" t="s">
        <v>326</v>
      </c>
      <c r="B71" s="2" t="s">
        <v>327</v>
      </c>
      <c r="C71" s="2" t="s">
        <v>13</v>
      </c>
      <c r="D71" s="3">
        <v>35397</v>
      </c>
      <c r="E71" s="2" t="s">
        <v>328</v>
      </c>
      <c r="F71" s="2" t="s">
        <v>329</v>
      </c>
      <c r="G71" s="2" t="s">
        <v>90</v>
      </c>
      <c r="H71" s="2" t="s">
        <v>91</v>
      </c>
      <c r="I71" s="2" t="s">
        <v>18</v>
      </c>
      <c r="J71" s="2" t="s">
        <v>25</v>
      </c>
      <c r="K71" s="2" t="str">
        <f>_xlfn.XLOOKUP(TRIM(Table1[[#This Row],[Membership]]),Sheet2!$A$2:$A$7,Sheet2!$B$2:$B$7,"Checkmanually")</f>
        <v>Silver</v>
      </c>
      <c r="L71" s="3">
        <v>44888</v>
      </c>
    </row>
    <row r="72" spans="1:12" x14ac:dyDescent="0.25">
      <c r="A72" s="2" t="s">
        <v>330</v>
      </c>
      <c r="B72" s="2" t="s">
        <v>331</v>
      </c>
      <c r="C72" s="2" t="s">
        <v>33</v>
      </c>
      <c r="D72" s="3">
        <v>38468</v>
      </c>
      <c r="E72" s="2" t="s">
        <v>332</v>
      </c>
      <c r="F72" s="2" t="s">
        <v>333</v>
      </c>
      <c r="G72" s="2" t="s">
        <v>193</v>
      </c>
      <c r="H72" s="2" t="s">
        <v>193</v>
      </c>
      <c r="I72" s="2" t="s">
        <v>49</v>
      </c>
      <c r="J72" s="2" t="s">
        <v>25</v>
      </c>
      <c r="K72" s="2" t="str">
        <f>_xlfn.XLOOKUP(TRIM(Table1[[#This Row],[Membership]]),Sheet2!$A$2:$A$7,Sheet2!$B$2:$B$7,"Checkmanually")</f>
        <v>Silver</v>
      </c>
      <c r="L72" s="3">
        <v>45088</v>
      </c>
    </row>
    <row r="73" spans="1:12" x14ac:dyDescent="0.25">
      <c r="A73" s="2" t="s">
        <v>334</v>
      </c>
      <c r="B73" s="2" t="s">
        <v>335</v>
      </c>
      <c r="C73" s="2" t="s">
        <v>33</v>
      </c>
      <c r="D73" s="3">
        <v>23156</v>
      </c>
      <c r="E73" s="2" t="s">
        <v>336</v>
      </c>
      <c r="F73" s="2" t="s">
        <v>337</v>
      </c>
      <c r="G73" s="2" t="s">
        <v>228</v>
      </c>
      <c r="H73" s="2" t="s">
        <v>17</v>
      </c>
      <c r="I73" s="2" t="s">
        <v>18</v>
      </c>
      <c r="J73" s="2" t="s">
        <v>183</v>
      </c>
      <c r="K73" s="2" t="str">
        <f>_xlfn.XLOOKUP(TRIM(Table1[[#This Row],[Membership]]),Sheet2!$A$2:$A$7,Sheet2!$B$2:$B$7,"Checkmanually")</f>
        <v>Gold</v>
      </c>
      <c r="L73" s="3">
        <v>43935</v>
      </c>
    </row>
    <row r="74" spans="1:12" x14ac:dyDescent="0.25">
      <c r="A74" s="2" t="s">
        <v>338</v>
      </c>
      <c r="B74" s="2" t="s">
        <v>339</v>
      </c>
      <c r="C74" s="2" t="s">
        <v>13</v>
      </c>
      <c r="D74" s="3">
        <v>29028</v>
      </c>
      <c r="E74" s="2" t="s">
        <v>340</v>
      </c>
      <c r="F74" s="2" t="s">
        <v>341</v>
      </c>
      <c r="G74" s="2" t="s">
        <v>228</v>
      </c>
      <c r="H74" s="2" t="s">
        <v>17</v>
      </c>
      <c r="I74" s="2" t="s">
        <v>18</v>
      </c>
      <c r="J74" s="2" t="s">
        <v>19</v>
      </c>
      <c r="K74" s="2" t="str">
        <f>_xlfn.XLOOKUP(TRIM(Table1[[#This Row],[Membership]]),Sheet2!$A$2:$A$7,Sheet2!$B$2:$B$7,"Checkmanually")</f>
        <v>Bronze</v>
      </c>
      <c r="L74" s="3">
        <v>45408</v>
      </c>
    </row>
    <row r="75" spans="1:12" x14ac:dyDescent="0.25">
      <c r="A75" s="2" t="s">
        <v>342</v>
      </c>
      <c r="B75" s="2" t="s">
        <v>343</v>
      </c>
      <c r="C75" s="2" t="s">
        <v>33</v>
      </c>
      <c r="D75" s="3">
        <v>20225</v>
      </c>
      <c r="E75" s="2" t="s">
        <v>344</v>
      </c>
      <c r="F75" s="2" t="s">
        <v>345</v>
      </c>
      <c r="G75" s="2" t="s">
        <v>121</v>
      </c>
      <c r="H75" s="2" t="s">
        <v>122</v>
      </c>
      <c r="I75" s="2" t="s">
        <v>18</v>
      </c>
      <c r="J75" s="2" t="s">
        <v>19</v>
      </c>
      <c r="K75" s="2" t="str">
        <f>_xlfn.XLOOKUP(TRIM(Table1[[#This Row],[Membership]]),Sheet2!$A$2:$A$7,Sheet2!$B$2:$B$7,"Checkmanually")</f>
        <v>Bronze</v>
      </c>
      <c r="L75" s="3">
        <v>45255</v>
      </c>
    </row>
    <row r="76" spans="1:12" x14ac:dyDescent="0.25">
      <c r="A76" s="2" t="s">
        <v>346</v>
      </c>
      <c r="B76" s="2" t="s">
        <v>347</v>
      </c>
      <c r="C76" s="2" t="s">
        <v>13</v>
      </c>
      <c r="D76" s="3">
        <v>28156</v>
      </c>
      <c r="E76" s="2" t="s">
        <v>348</v>
      </c>
      <c r="F76" s="2" t="s">
        <v>349</v>
      </c>
      <c r="G76" s="2" t="s">
        <v>131</v>
      </c>
      <c r="H76" s="2" t="s">
        <v>91</v>
      </c>
      <c r="I76" s="2" t="s">
        <v>18</v>
      </c>
      <c r="J76" s="2" t="s">
        <v>19</v>
      </c>
      <c r="K76" s="2" t="str">
        <f>_xlfn.XLOOKUP(TRIM(Table1[[#This Row],[Membership]]),Sheet2!$A$2:$A$7,Sheet2!$B$2:$B$7,"Checkmanually")</f>
        <v>Bronze</v>
      </c>
      <c r="L76" s="3">
        <v>45141</v>
      </c>
    </row>
    <row r="77" spans="1:12" x14ac:dyDescent="0.25">
      <c r="A77" s="2" t="s">
        <v>350</v>
      </c>
      <c r="B77" s="2" t="s">
        <v>351</v>
      </c>
      <c r="C77" s="2" t="s">
        <v>33</v>
      </c>
      <c r="D77" s="3">
        <v>24087</v>
      </c>
      <c r="E77" s="2" t="s">
        <v>352</v>
      </c>
      <c r="F77" s="2" t="s">
        <v>353</v>
      </c>
      <c r="G77" s="2" t="s">
        <v>24</v>
      </c>
      <c r="H77" s="2" t="s">
        <v>17</v>
      </c>
      <c r="I77" s="2" t="s">
        <v>18</v>
      </c>
      <c r="J77" s="2" t="s">
        <v>183</v>
      </c>
      <c r="K77" s="2" t="str">
        <f>_xlfn.XLOOKUP(TRIM(Table1[[#This Row],[Membership]]),Sheet2!$A$2:$A$7,Sheet2!$B$2:$B$7,"Checkmanually")</f>
        <v>Gold</v>
      </c>
      <c r="L77" s="3">
        <v>44715</v>
      </c>
    </row>
    <row r="78" spans="1:12" x14ac:dyDescent="0.25">
      <c r="A78" s="2" t="s">
        <v>354</v>
      </c>
      <c r="B78" s="2" t="s">
        <v>355</v>
      </c>
      <c r="C78" s="2" t="s">
        <v>13</v>
      </c>
      <c r="D78" s="3">
        <v>25128</v>
      </c>
      <c r="E78" s="2" t="s">
        <v>356</v>
      </c>
      <c r="F78" s="2" t="s">
        <v>357</v>
      </c>
      <c r="G78" s="2" t="s">
        <v>63</v>
      </c>
      <c r="H78" s="2" t="s">
        <v>17</v>
      </c>
      <c r="I78" s="2" t="s">
        <v>18</v>
      </c>
      <c r="J78" s="2" t="s">
        <v>19</v>
      </c>
      <c r="K78" s="2" t="str">
        <f>_xlfn.XLOOKUP(TRIM(Table1[[#This Row],[Membership]]),Sheet2!$A$2:$A$7,Sheet2!$B$2:$B$7,"Checkmanually")</f>
        <v>Bronze</v>
      </c>
      <c r="L78" s="3">
        <v>43219</v>
      </c>
    </row>
    <row r="79" spans="1:12" x14ac:dyDescent="0.25">
      <c r="A79" s="2" t="s">
        <v>358</v>
      </c>
      <c r="B79" s="2" t="s">
        <v>359</v>
      </c>
      <c r="C79" s="2" t="s">
        <v>13</v>
      </c>
      <c r="D79" s="3">
        <v>28915</v>
      </c>
      <c r="E79" s="2" t="s">
        <v>360</v>
      </c>
      <c r="F79" s="2" t="s">
        <v>361</v>
      </c>
      <c r="G79" s="2" t="s">
        <v>90</v>
      </c>
      <c r="H79" s="2" t="s">
        <v>91</v>
      </c>
      <c r="I79" s="2" t="s">
        <v>18</v>
      </c>
      <c r="J79" s="2" t="s">
        <v>25</v>
      </c>
      <c r="K79" s="2" t="str">
        <f>_xlfn.XLOOKUP(TRIM(Table1[[#This Row],[Membership]]),Sheet2!$A$2:$A$7,Sheet2!$B$2:$B$7,"Checkmanually")</f>
        <v>Silver</v>
      </c>
      <c r="L79" s="3">
        <v>45534</v>
      </c>
    </row>
    <row r="80" spans="1:12" x14ac:dyDescent="0.25">
      <c r="A80" s="2" t="s">
        <v>362</v>
      </c>
      <c r="B80" s="2" t="s">
        <v>363</v>
      </c>
      <c r="C80" s="2" t="s">
        <v>13</v>
      </c>
      <c r="D80" s="3">
        <v>34937</v>
      </c>
      <c r="E80" s="2" t="s">
        <v>364</v>
      </c>
      <c r="F80" s="2" t="s">
        <v>365</v>
      </c>
      <c r="G80" s="2" t="s">
        <v>16</v>
      </c>
      <c r="H80" s="2" t="s">
        <v>17</v>
      </c>
      <c r="I80" s="2" t="s">
        <v>18</v>
      </c>
      <c r="J80" s="2" t="s">
        <v>19</v>
      </c>
      <c r="K80" s="2" t="str">
        <f>_xlfn.XLOOKUP(TRIM(Table1[[#This Row],[Membership]]),Sheet2!$A$2:$A$7,Sheet2!$B$2:$B$7,"Checkmanually")</f>
        <v>Bronze</v>
      </c>
      <c r="L80" s="3">
        <v>44431</v>
      </c>
    </row>
    <row r="81" spans="1:12" x14ac:dyDescent="0.25">
      <c r="A81" s="2" t="s">
        <v>366</v>
      </c>
      <c r="B81" s="2" t="s">
        <v>367</v>
      </c>
      <c r="C81" s="2" t="s">
        <v>33</v>
      </c>
      <c r="D81" s="3">
        <v>21685</v>
      </c>
      <c r="E81" s="2" t="s">
        <v>368</v>
      </c>
      <c r="F81" s="2" t="s">
        <v>369</v>
      </c>
      <c r="G81" s="2" t="s">
        <v>115</v>
      </c>
      <c r="H81" s="2" t="s">
        <v>116</v>
      </c>
      <c r="I81" s="2" t="s">
        <v>42</v>
      </c>
      <c r="J81" s="2" t="s">
        <v>25</v>
      </c>
      <c r="K81" s="2" t="str">
        <f>_xlfn.XLOOKUP(TRIM(Table1[[#This Row],[Membership]]),Sheet2!$A$2:$A$7,Sheet2!$B$2:$B$7,"Checkmanually")</f>
        <v>Silver</v>
      </c>
      <c r="L81" s="3">
        <v>45737</v>
      </c>
    </row>
    <row r="82" spans="1:12" x14ac:dyDescent="0.25">
      <c r="A82" s="2" t="s">
        <v>370</v>
      </c>
      <c r="B82" s="2" t="s">
        <v>371</v>
      </c>
      <c r="C82" s="2" t="s">
        <v>13</v>
      </c>
      <c r="D82" s="3">
        <v>38019</v>
      </c>
      <c r="E82" s="2" t="s">
        <v>372</v>
      </c>
      <c r="F82" s="2" t="s">
        <v>373</v>
      </c>
      <c r="G82" s="2" t="s">
        <v>16</v>
      </c>
      <c r="H82" s="2" t="s">
        <v>17</v>
      </c>
      <c r="I82" s="2" t="s">
        <v>18</v>
      </c>
      <c r="J82" s="2" t="s">
        <v>19</v>
      </c>
      <c r="K82" s="2" t="str">
        <f>_xlfn.XLOOKUP(TRIM(Table1[[#This Row],[Membership]]),Sheet2!$A$2:$A$7,Sheet2!$B$2:$B$7,"Checkmanually")</f>
        <v>Bronze</v>
      </c>
      <c r="L82" s="3">
        <v>45567</v>
      </c>
    </row>
    <row r="83" spans="1:12" x14ac:dyDescent="0.25">
      <c r="A83" s="2" t="s">
        <v>374</v>
      </c>
      <c r="B83" s="2" t="s">
        <v>375</v>
      </c>
      <c r="C83" s="2" t="s">
        <v>13</v>
      </c>
      <c r="D83" s="3">
        <v>33161</v>
      </c>
      <c r="E83" s="2" t="s">
        <v>376</v>
      </c>
      <c r="F83" s="2" t="s">
        <v>377</v>
      </c>
      <c r="G83" s="2" t="s">
        <v>30</v>
      </c>
      <c r="H83" s="2" t="s">
        <v>17</v>
      </c>
      <c r="I83" s="2" t="s">
        <v>18</v>
      </c>
      <c r="J83" s="2" t="s">
        <v>183</v>
      </c>
      <c r="K83" s="2" t="str">
        <f>_xlfn.XLOOKUP(TRIM(Table1[[#This Row],[Membership]]),Sheet2!$A$2:$A$7,Sheet2!$B$2:$B$7,"Checkmanually")</f>
        <v>Gold</v>
      </c>
      <c r="L83" s="3">
        <v>43466</v>
      </c>
    </row>
    <row r="84" spans="1:12" x14ac:dyDescent="0.25">
      <c r="A84" s="2" t="s">
        <v>378</v>
      </c>
      <c r="B84" s="2" t="s">
        <v>379</v>
      </c>
      <c r="C84" s="2" t="s">
        <v>13</v>
      </c>
      <c r="D84" s="3">
        <v>29426</v>
      </c>
      <c r="E84" s="2" t="s">
        <v>380</v>
      </c>
      <c r="F84" s="2" t="s">
        <v>381</v>
      </c>
      <c r="G84" s="2" t="s">
        <v>382</v>
      </c>
      <c r="H84" s="2" t="s">
        <v>145</v>
      </c>
      <c r="I84" s="2" t="s">
        <v>146</v>
      </c>
      <c r="J84" s="2" t="s">
        <v>19</v>
      </c>
      <c r="K84" s="2" t="str">
        <f>_xlfn.XLOOKUP(TRIM(Table1[[#This Row],[Membership]]),Sheet2!$A$2:$A$7,Sheet2!$B$2:$B$7,"Checkmanually")</f>
        <v>Bronze</v>
      </c>
      <c r="L84" s="3">
        <v>45751</v>
      </c>
    </row>
    <row r="85" spans="1:12" x14ac:dyDescent="0.25">
      <c r="A85" s="2" t="s">
        <v>383</v>
      </c>
      <c r="B85" s="2" t="s">
        <v>384</v>
      </c>
      <c r="C85" s="2" t="s">
        <v>33</v>
      </c>
      <c r="D85" s="3">
        <v>34257</v>
      </c>
      <c r="E85" s="2" t="s">
        <v>385</v>
      </c>
      <c r="F85" s="2" t="s">
        <v>386</v>
      </c>
      <c r="G85" s="2" t="s">
        <v>387</v>
      </c>
      <c r="H85" s="2" t="s">
        <v>388</v>
      </c>
      <c r="I85" s="2" t="s">
        <v>146</v>
      </c>
      <c r="J85" s="2" t="s">
        <v>25</v>
      </c>
      <c r="K85" s="2" t="str">
        <f>_xlfn.XLOOKUP(TRIM(Table1[[#This Row],[Membership]]),Sheet2!$A$2:$A$7,Sheet2!$B$2:$B$7,"Checkmanually")</f>
        <v>Silver</v>
      </c>
      <c r="L85" s="3">
        <v>44371</v>
      </c>
    </row>
    <row r="86" spans="1:12" x14ac:dyDescent="0.25">
      <c r="A86" s="2" t="s">
        <v>389</v>
      </c>
      <c r="B86" s="2" t="s">
        <v>390</v>
      </c>
      <c r="C86" s="2" t="s">
        <v>33</v>
      </c>
      <c r="D86" s="3">
        <v>32130</v>
      </c>
      <c r="E86" s="2" t="s">
        <v>391</v>
      </c>
      <c r="F86" s="2" t="s">
        <v>392</v>
      </c>
      <c r="G86" s="2" t="s">
        <v>24</v>
      </c>
      <c r="H86" s="2" t="s">
        <v>17</v>
      </c>
      <c r="I86" s="2" t="s">
        <v>18</v>
      </c>
      <c r="J86" s="2" t="s">
        <v>19</v>
      </c>
      <c r="K86" s="2" t="str">
        <f>_xlfn.XLOOKUP(TRIM(Table1[[#This Row],[Membership]]),Sheet2!$A$2:$A$7,Sheet2!$B$2:$B$7,"Checkmanually")</f>
        <v>Bronze</v>
      </c>
      <c r="L86" s="3">
        <v>45200</v>
      </c>
    </row>
    <row r="87" spans="1:12" x14ac:dyDescent="0.25">
      <c r="A87" s="2" t="s">
        <v>393</v>
      </c>
      <c r="B87" s="2" t="s">
        <v>394</v>
      </c>
      <c r="C87" s="2" t="s">
        <v>13</v>
      </c>
      <c r="D87" s="3">
        <v>38540</v>
      </c>
      <c r="E87" s="2" t="s">
        <v>395</v>
      </c>
      <c r="F87" s="2" t="s">
        <v>396</v>
      </c>
      <c r="G87" s="2" t="s">
        <v>131</v>
      </c>
      <c r="H87" s="2" t="s">
        <v>91</v>
      </c>
      <c r="I87" s="2" t="s">
        <v>18</v>
      </c>
      <c r="J87" s="2" t="s">
        <v>25</v>
      </c>
      <c r="K87" s="2" t="str">
        <f>_xlfn.XLOOKUP(TRIM(Table1[[#This Row],[Membership]]),Sheet2!$A$2:$A$7,Sheet2!$B$2:$B$7,"Checkmanually")</f>
        <v>Silver</v>
      </c>
      <c r="L87" s="3">
        <v>45559</v>
      </c>
    </row>
    <row r="88" spans="1:12" x14ac:dyDescent="0.25">
      <c r="A88" s="2" t="s">
        <v>397</v>
      </c>
      <c r="B88" s="2" t="s">
        <v>398</v>
      </c>
      <c r="C88" s="2" t="s">
        <v>33</v>
      </c>
      <c r="D88" s="3">
        <v>26196</v>
      </c>
      <c r="E88" s="2" t="s">
        <v>399</v>
      </c>
      <c r="F88" s="2" t="s">
        <v>400</v>
      </c>
      <c r="G88" s="2" t="s">
        <v>131</v>
      </c>
      <c r="H88" s="2" t="s">
        <v>91</v>
      </c>
      <c r="I88" s="2" t="s">
        <v>18</v>
      </c>
      <c r="J88" s="2" t="s">
        <v>19</v>
      </c>
      <c r="K88" s="2" t="str">
        <f>_xlfn.XLOOKUP(TRIM(Table1[[#This Row],[Membership]]),Sheet2!$A$2:$A$7,Sheet2!$B$2:$B$7,"Checkmanually")</f>
        <v>Bronze</v>
      </c>
      <c r="L88" s="3">
        <v>44879</v>
      </c>
    </row>
    <row r="89" spans="1:12" x14ac:dyDescent="0.25">
      <c r="A89" s="2" t="s">
        <v>401</v>
      </c>
      <c r="B89" s="2" t="s">
        <v>402</v>
      </c>
      <c r="C89" s="2" t="s">
        <v>13</v>
      </c>
      <c r="D89" s="3">
        <v>35278</v>
      </c>
      <c r="E89" s="2" t="s">
        <v>403</v>
      </c>
      <c r="F89" s="2" t="s">
        <v>404</v>
      </c>
      <c r="G89" s="2" t="s">
        <v>16</v>
      </c>
      <c r="H89" s="2" t="s">
        <v>17</v>
      </c>
      <c r="I89" s="2" t="s">
        <v>18</v>
      </c>
      <c r="J89" s="2" t="s">
        <v>25</v>
      </c>
      <c r="K89" s="2" t="str">
        <f>_xlfn.XLOOKUP(TRIM(Table1[[#This Row],[Membership]]),Sheet2!$A$2:$A$7,Sheet2!$B$2:$B$7,"Checkmanually")</f>
        <v>Silver</v>
      </c>
      <c r="L89" s="3">
        <v>45871</v>
      </c>
    </row>
    <row r="90" spans="1:12" x14ac:dyDescent="0.25">
      <c r="A90" s="2" t="s">
        <v>405</v>
      </c>
      <c r="B90" s="2" t="s">
        <v>406</v>
      </c>
      <c r="C90" s="2" t="s">
        <v>33</v>
      </c>
      <c r="D90" s="3">
        <v>37367</v>
      </c>
      <c r="E90" s="2" t="s">
        <v>407</v>
      </c>
      <c r="F90" s="2" t="s">
        <v>408</v>
      </c>
      <c r="G90" s="2" t="s">
        <v>228</v>
      </c>
      <c r="H90" s="2" t="s">
        <v>17</v>
      </c>
      <c r="I90" s="2" t="s">
        <v>18</v>
      </c>
      <c r="J90" s="2" t="s">
        <v>19</v>
      </c>
      <c r="K90" s="2" t="str">
        <f>_xlfn.XLOOKUP(TRIM(Table1[[#This Row],[Membership]]),Sheet2!$A$2:$A$7,Sheet2!$B$2:$B$7,"Checkmanually")</f>
        <v>Bronze</v>
      </c>
      <c r="L90" s="3">
        <v>45679</v>
      </c>
    </row>
    <row r="91" spans="1:12" x14ac:dyDescent="0.25">
      <c r="A91" s="2" t="s">
        <v>409</v>
      </c>
      <c r="B91" s="2" t="s">
        <v>410</v>
      </c>
      <c r="C91" s="2" t="s">
        <v>13</v>
      </c>
      <c r="D91" s="3">
        <v>22684</v>
      </c>
      <c r="E91" s="2" t="s">
        <v>411</v>
      </c>
      <c r="F91" s="2" t="s">
        <v>412</v>
      </c>
      <c r="G91" s="2" t="s">
        <v>30</v>
      </c>
      <c r="H91" s="2" t="s">
        <v>17</v>
      </c>
      <c r="I91" s="2" t="s">
        <v>18</v>
      </c>
      <c r="J91" s="2" t="s">
        <v>25</v>
      </c>
      <c r="K91" s="2" t="str">
        <f>_xlfn.XLOOKUP(TRIM(Table1[[#This Row],[Membership]]),Sheet2!$A$2:$A$7,Sheet2!$B$2:$B$7,"Checkmanually")</f>
        <v>Silver</v>
      </c>
      <c r="L91" s="3">
        <v>45057</v>
      </c>
    </row>
    <row r="92" spans="1:12" x14ac:dyDescent="0.25">
      <c r="A92" s="2" t="s">
        <v>413</v>
      </c>
      <c r="B92" s="2" t="s">
        <v>414</v>
      </c>
      <c r="C92" s="2" t="s">
        <v>33</v>
      </c>
      <c r="D92" s="3">
        <v>29933</v>
      </c>
      <c r="E92" s="2" t="s">
        <v>415</v>
      </c>
      <c r="F92" s="2" t="s">
        <v>416</v>
      </c>
      <c r="G92" s="2" t="s">
        <v>228</v>
      </c>
      <c r="H92" s="2" t="s">
        <v>17</v>
      </c>
      <c r="I92" s="2" t="s">
        <v>18</v>
      </c>
      <c r="J92" s="2" t="s">
        <v>19</v>
      </c>
      <c r="K92" s="2" t="str">
        <f>_xlfn.XLOOKUP(TRIM(Table1[[#This Row],[Membership]]),Sheet2!$A$2:$A$7,Sheet2!$B$2:$B$7,"Checkmanually")</f>
        <v>Bronze</v>
      </c>
      <c r="L92" s="3">
        <v>44119</v>
      </c>
    </row>
    <row r="93" spans="1:12" x14ac:dyDescent="0.25">
      <c r="A93" s="2" t="s">
        <v>417</v>
      </c>
      <c r="B93" s="2" t="s">
        <v>418</v>
      </c>
      <c r="C93" s="2" t="s">
        <v>33</v>
      </c>
      <c r="D93" s="3">
        <v>22597</v>
      </c>
      <c r="E93" s="2" t="s">
        <v>419</v>
      </c>
      <c r="F93" s="2" t="s">
        <v>420</v>
      </c>
      <c r="G93" s="2" t="s">
        <v>121</v>
      </c>
      <c r="H93" s="2" t="s">
        <v>122</v>
      </c>
      <c r="I93" s="2" t="s">
        <v>18</v>
      </c>
      <c r="J93" s="2" t="s">
        <v>183</v>
      </c>
      <c r="K93" s="2" t="str">
        <f>_xlfn.XLOOKUP(TRIM(Table1[[#This Row],[Membership]]),Sheet2!$A$2:$A$7,Sheet2!$B$2:$B$7,"Checkmanually")</f>
        <v>Gold</v>
      </c>
      <c r="L93" s="3">
        <v>43285</v>
      </c>
    </row>
    <row r="94" spans="1:12" x14ac:dyDescent="0.25">
      <c r="A94" s="2" t="s">
        <v>421</v>
      </c>
      <c r="B94" s="2" t="s">
        <v>422</v>
      </c>
      <c r="C94" s="2" t="s">
        <v>33</v>
      </c>
      <c r="D94" s="3">
        <v>35315</v>
      </c>
      <c r="E94" s="2" t="s">
        <v>423</v>
      </c>
      <c r="F94" s="2" t="s">
        <v>424</v>
      </c>
      <c r="G94" s="2" t="s">
        <v>131</v>
      </c>
      <c r="H94" s="2" t="s">
        <v>91</v>
      </c>
      <c r="I94" s="2" t="s">
        <v>18</v>
      </c>
      <c r="J94" s="2" t="s">
        <v>25</v>
      </c>
      <c r="K94" s="2" t="str">
        <f>_xlfn.XLOOKUP(TRIM(Table1[[#This Row],[Membership]]),Sheet2!$A$2:$A$7,Sheet2!$B$2:$B$7,"Checkmanually")</f>
        <v>Silver</v>
      </c>
      <c r="L94" s="3">
        <v>45807</v>
      </c>
    </row>
    <row r="95" spans="1:12" x14ac:dyDescent="0.25">
      <c r="A95" s="2" t="s">
        <v>425</v>
      </c>
      <c r="B95" s="2" t="s">
        <v>426</v>
      </c>
      <c r="C95" s="2" t="s">
        <v>33</v>
      </c>
      <c r="D95" s="3">
        <v>39277</v>
      </c>
      <c r="E95" s="2" t="s">
        <v>427</v>
      </c>
      <c r="F95" s="2" t="s">
        <v>428</v>
      </c>
      <c r="G95" s="2" t="s">
        <v>30</v>
      </c>
      <c r="H95" s="2" t="s">
        <v>17</v>
      </c>
      <c r="I95" s="2" t="s">
        <v>18</v>
      </c>
      <c r="J95" s="2" t="s">
        <v>25</v>
      </c>
      <c r="K95" s="2" t="str">
        <f>_xlfn.XLOOKUP(TRIM(Table1[[#This Row],[Membership]]),Sheet2!$A$2:$A$7,Sheet2!$B$2:$B$7,"Checkmanually")</f>
        <v>Silver</v>
      </c>
      <c r="L95" s="3">
        <v>43435</v>
      </c>
    </row>
    <row r="96" spans="1:12" x14ac:dyDescent="0.25">
      <c r="A96" s="2" t="s">
        <v>429</v>
      </c>
      <c r="B96" s="2" t="s">
        <v>430</v>
      </c>
      <c r="C96" s="2" t="s">
        <v>33</v>
      </c>
      <c r="D96" s="3">
        <v>35257</v>
      </c>
      <c r="E96" s="2" t="s">
        <v>431</v>
      </c>
      <c r="F96" s="2" t="s">
        <v>432</v>
      </c>
      <c r="G96" s="2" t="s">
        <v>63</v>
      </c>
      <c r="H96" s="2" t="s">
        <v>17</v>
      </c>
      <c r="I96" s="2" t="s">
        <v>18</v>
      </c>
      <c r="J96" s="2" t="s">
        <v>19</v>
      </c>
      <c r="K96" s="2" t="str">
        <f>_xlfn.XLOOKUP(TRIM(Table1[[#This Row],[Membership]]),Sheet2!$A$2:$A$7,Sheet2!$B$2:$B$7,"Checkmanually")</f>
        <v>Bronze</v>
      </c>
      <c r="L96" s="3">
        <v>43836</v>
      </c>
    </row>
    <row r="97" spans="1:12" x14ac:dyDescent="0.25">
      <c r="A97" s="2" t="s">
        <v>433</v>
      </c>
      <c r="B97" s="2" t="s">
        <v>434</v>
      </c>
      <c r="C97" s="2" t="s">
        <v>33</v>
      </c>
      <c r="D97" s="3">
        <v>33729</v>
      </c>
      <c r="E97" s="2" t="s">
        <v>435</v>
      </c>
      <c r="F97" s="2" t="s">
        <v>436</v>
      </c>
      <c r="G97" s="2" t="s">
        <v>131</v>
      </c>
      <c r="H97" s="2" t="s">
        <v>91</v>
      </c>
      <c r="I97" s="2" t="s">
        <v>18</v>
      </c>
      <c r="J97" s="2" t="s">
        <v>183</v>
      </c>
      <c r="K97" s="2" t="str">
        <f>_xlfn.XLOOKUP(TRIM(Table1[[#This Row],[Membership]]),Sheet2!$A$2:$A$7,Sheet2!$B$2:$B$7,"Checkmanually")</f>
        <v>Gold</v>
      </c>
      <c r="L97" s="3">
        <v>45986</v>
      </c>
    </row>
    <row r="98" spans="1:12" x14ac:dyDescent="0.25">
      <c r="A98" s="2" t="s">
        <v>437</v>
      </c>
      <c r="B98" s="2" t="s">
        <v>438</v>
      </c>
      <c r="C98" s="2" t="s">
        <v>33</v>
      </c>
      <c r="D98" s="3">
        <v>34833</v>
      </c>
      <c r="E98" s="2" t="s">
        <v>439</v>
      </c>
      <c r="F98" s="2" t="s">
        <v>440</v>
      </c>
      <c r="G98" s="2" t="s">
        <v>90</v>
      </c>
      <c r="H98" s="2" t="s">
        <v>91</v>
      </c>
      <c r="I98" s="2" t="s">
        <v>18</v>
      </c>
      <c r="J98" s="2" t="s">
        <v>19</v>
      </c>
      <c r="K98" s="2" t="str">
        <f>_xlfn.XLOOKUP(TRIM(Table1[[#This Row],[Membership]]),Sheet2!$A$2:$A$7,Sheet2!$B$2:$B$7,"Checkmanually")</f>
        <v>Bronze</v>
      </c>
      <c r="L98" s="3">
        <v>45656</v>
      </c>
    </row>
    <row r="99" spans="1:12" x14ac:dyDescent="0.25">
      <c r="A99" s="2" t="s">
        <v>441</v>
      </c>
      <c r="B99" s="2" t="s">
        <v>442</v>
      </c>
      <c r="C99" s="2" t="s">
        <v>13</v>
      </c>
      <c r="D99" s="3">
        <v>22653</v>
      </c>
      <c r="E99" s="2" t="s">
        <v>443</v>
      </c>
      <c r="F99" s="2" t="s">
        <v>444</v>
      </c>
      <c r="G99" s="2" t="s">
        <v>228</v>
      </c>
      <c r="H99" s="2" t="s">
        <v>17</v>
      </c>
      <c r="I99" s="2" t="s">
        <v>18</v>
      </c>
      <c r="J99" s="2" t="s">
        <v>25</v>
      </c>
      <c r="K99" s="2" t="str">
        <f>_xlfn.XLOOKUP(TRIM(Table1[[#This Row],[Membership]]),Sheet2!$A$2:$A$7,Sheet2!$B$2:$B$7,"Checkmanually")</f>
        <v>Silver</v>
      </c>
      <c r="L99" s="3">
        <v>45575</v>
      </c>
    </row>
    <row r="100" spans="1:12" x14ac:dyDescent="0.25">
      <c r="A100" s="2" t="s">
        <v>445</v>
      </c>
      <c r="B100" s="2" t="s">
        <v>446</v>
      </c>
      <c r="C100" s="2" t="s">
        <v>13</v>
      </c>
      <c r="D100" s="3">
        <v>20281</v>
      </c>
      <c r="E100" s="2" t="s">
        <v>447</v>
      </c>
      <c r="F100" s="2" t="s">
        <v>448</v>
      </c>
      <c r="G100" s="2" t="s">
        <v>382</v>
      </c>
      <c r="H100" s="2" t="s">
        <v>145</v>
      </c>
      <c r="I100" s="2" t="s">
        <v>146</v>
      </c>
      <c r="J100" s="2" t="s">
        <v>25</v>
      </c>
      <c r="K100" s="2" t="str">
        <f>_xlfn.XLOOKUP(TRIM(Table1[[#This Row],[Membership]]),Sheet2!$A$2:$A$7,Sheet2!$B$2:$B$7,"Checkmanually")</f>
        <v>Silver</v>
      </c>
      <c r="L100" s="3">
        <v>44718</v>
      </c>
    </row>
    <row r="101" spans="1:12" x14ac:dyDescent="0.25">
      <c r="A101" s="2" t="s">
        <v>449</v>
      </c>
      <c r="B101" s="2" t="s">
        <v>450</v>
      </c>
      <c r="C101" s="2" t="s">
        <v>13</v>
      </c>
      <c r="D101" s="3">
        <v>33364</v>
      </c>
      <c r="E101" s="2" t="s">
        <v>451</v>
      </c>
      <c r="F101" s="2" t="s">
        <v>452</v>
      </c>
      <c r="G101" s="2" t="s">
        <v>90</v>
      </c>
      <c r="H101" s="2" t="s">
        <v>91</v>
      </c>
      <c r="I101" s="2" t="s">
        <v>18</v>
      </c>
      <c r="J101" s="2" t="s">
        <v>25</v>
      </c>
      <c r="K101" s="2" t="str">
        <f>_xlfn.XLOOKUP(TRIM(Table1[[#This Row],[Membership]]),Sheet2!$A$2:$A$7,Sheet2!$B$2:$B$7,"Checkmanually")</f>
        <v>Silver</v>
      </c>
      <c r="L101" s="3">
        <v>45795</v>
      </c>
    </row>
    <row r="102" spans="1:12" x14ac:dyDescent="0.25">
      <c r="A102" s="2" t="s">
        <v>453</v>
      </c>
      <c r="B102" s="2" t="s">
        <v>454</v>
      </c>
      <c r="C102" s="2" t="s">
        <v>33</v>
      </c>
      <c r="D102" s="3">
        <v>31910</v>
      </c>
      <c r="E102" s="2" t="s">
        <v>455</v>
      </c>
      <c r="F102" s="2" t="s">
        <v>456</v>
      </c>
      <c r="G102" s="2" t="s">
        <v>90</v>
      </c>
      <c r="H102" s="2" t="s">
        <v>91</v>
      </c>
      <c r="I102" s="2" t="s">
        <v>18</v>
      </c>
      <c r="J102" s="2" t="s">
        <v>25</v>
      </c>
      <c r="K102" s="2" t="str">
        <f>_xlfn.XLOOKUP(TRIM(Table1[[#This Row],[Membership]]),Sheet2!$A$2:$A$7,Sheet2!$B$2:$B$7,"Checkmanually")</f>
        <v>Silver</v>
      </c>
      <c r="L102" s="3">
        <v>45929</v>
      </c>
    </row>
    <row r="103" spans="1:12" x14ac:dyDescent="0.25">
      <c r="A103" s="2" t="s">
        <v>457</v>
      </c>
      <c r="B103" s="2" t="s">
        <v>458</v>
      </c>
      <c r="C103" s="2" t="s">
        <v>33</v>
      </c>
      <c r="D103" s="3">
        <v>22961</v>
      </c>
      <c r="E103" s="2" t="s">
        <v>459</v>
      </c>
      <c r="F103" s="2" t="s">
        <v>460</v>
      </c>
      <c r="G103" s="2" t="s">
        <v>40</v>
      </c>
      <c r="H103" s="2" t="s">
        <v>41</v>
      </c>
      <c r="I103" s="2" t="s">
        <v>42</v>
      </c>
      <c r="J103" s="2" t="s">
        <v>19</v>
      </c>
      <c r="K103" s="2" t="str">
        <f>_xlfn.XLOOKUP(TRIM(Table1[[#This Row],[Membership]]),Sheet2!$A$2:$A$7,Sheet2!$B$2:$B$7,"Checkmanually")</f>
        <v>Bronze</v>
      </c>
      <c r="L103" s="3">
        <v>43613</v>
      </c>
    </row>
    <row r="104" spans="1:12" x14ac:dyDescent="0.25">
      <c r="A104" s="2" t="s">
        <v>461</v>
      </c>
      <c r="B104" s="2" t="s">
        <v>462</v>
      </c>
      <c r="C104" s="2" t="s">
        <v>33</v>
      </c>
      <c r="D104" s="3">
        <v>26257</v>
      </c>
      <c r="E104" s="2" t="s">
        <v>463</v>
      </c>
      <c r="F104" s="2" t="s">
        <v>464</v>
      </c>
      <c r="G104" s="2" t="s">
        <v>63</v>
      </c>
      <c r="H104" s="2" t="s">
        <v>17</v>
      </c>
      <c r="I104" s="2" t="s">
        <v>18</v>
      </c>
      <c r="J104" s="2" t="s">
        <v>19</v>
      </c>
      <c r="K104" s="2" t="str">
        <f>_xlfn.XLOOKUP(TRIM(Table1[[#This Row],[Membership]]),Sheet2!$A$2:$A$7,Sheet2!$B$2:$B$7,"Checkmanually")</f>
        <v>Bronze</v>
      </c>
      <c r="L104" s="3">
        <v>43210</v>
      </c>
    </row>
    <row r="105" spans="1:12" x14ac:dyDescent="0.25">
      <c r="A105" s="2" t="s">
        <v>465</v>
      </c>
      <c r="B105" s="2" t="s">
        <v>466</v>
      </c>
      <c r="C105" s="2" t="s">
        <v>13</v>
      </c>
      <c r="D105" s="3">
        <v>34369</v>
      </c>
      <c r="E105" s="2" t="s">
        <v>467</v>
      </c>
      <c r="F105" s="2" t="s">
        <v>468</v>
      </c>
      <c r="G105" s="2" t="s">
        <v>228</v>
      </c>
      <c r="H105" s="2" t="s">
        <v>17</v>
      </c>
      <c r="I105" s="2" t="s">
        <v>18</v>
      </c>
      <c r="J105" s="2" t="s">
        <v>19</v>
      </c>
      <c r="K105" s="2" t="str">
        <f>_xlfn.XLOOKUP(TRIM(Table1[[#This Row],[Membership]]),Sheet2!$A$2:$A$7,Sheet2!$B$2:$B$7,"Checkmanually")</f>
        <v>Bronze</v>
      </c>
      <c r="L105" s="3">
        <v>45665</v>
      </c>
    </row>
    <row r="106" spans="1:12" x14ac:dyDescent="0.25">
      <c r="A106" s="2" t="s">
        <v>469</v>
      </c>
      <c r="B106" s="2" t="s">
        <v>470</v>
      </c>
      <c r="C106" s="2" t="s">
        <v>13</v>
      </c>
      <c r="D106" s="3">
        <v>35275</v>
      </c>
      <c r="E106" s="2" t="s">
        <v>471</v>
      </c>
      <c r="F106" s="2" t="s">
        <v>472</v>
      </c>
      <c r="G106" s="2" t="s">
        <v>63</v>
      </c>
      <c r="H106" s="2" t="s">
        <v>17</v>
      </c>
      <c r="I106" s="2" t="s">
        <v>18</v>
      </c>
      <c r="J106" s="2" t="s">
        <v>25</v>
      </c>
      <c r="K106" s="2" t="str">
        <f>_xlfn.XLOOKUP(TRIM(Table1[[#This Row],[Membership]]),Sheet2!$A$2:$A$7,Sheet2!$B$2:$B$7,"Checkmanually")</f>
        <v>Silver</v>
      </c>
      <c r="L106" s="3">
        <v>43707</v>
      </c>
    </row>
    <row r="107" spans="1:12" x14ac:dyDescent="0.25">
      <c r="A107" s="2" t="s">
        <v>473</v>
      </c>
      <c r="B107" s="2" t="s">
        <v>474</v>
      </c>
      <c r="C107" s="2" t="s">
        <v>13</v>
      </c>
      <c r="D107" s="3">
        <v>25084</v>
      </c>
      <c r="E107" s="2" t="s">
        <v>475</v>
      </c>
      <c r="F107" s="2" t="s">
        <v>476</v>
      </c>
      <c r="G107" s="2" t="s">
        <v>63</v>
      </c>
      <c r="H107" s="2" t="s">
        <v>17</v>
      </c>
      <c r="I107" s="2" t="s">
        <v>18</v>
      </c>
      <c r="J107" s="2" t="s">
        <v>183</v>
      </c>
      <c r="K107" s="2" t="str">
        <f>_xlfn.XLOOKUP(TRIM(Table1[[#This Row],[Membership]]),Sheet2!$A$2:$A$7,Sheet2!$B$2:$B$7,"Checkmanually")</f>
        <v>Gold</v>
      </c>
      <c r="L107" s="3">
        <v>45978</v>
      </c>
    </row>
    <row r="108" spans="1:12" x14ac:dyDescent="0.25">
      <c r="A108" s="2" t="s">
        <v>477</v>
      </c>
      <c r="B108" s="2" t="s">
        <v>478</v>
      </c>
      <c r="C108" s="2" t="s">
        <v>33</v>
      </c>
      <c r="D108" s="3">
        <v>39266</v>
      </c>
      <c r="E108" s="2" t="s">
        <v>479</v>
      </c>
      <c r="F108" s="2" t="s">
        <v>480</v>
      </c>
      <c r="G108" s="2" t="s">
        <v>193</v>
      </c>
      <c r="H108" s="2" t="s">
        <v>193</v>
      </c>
      <c r="I108" s="2" t="s">
        <v>49</v>
      </c>
      <c r="J108" s="2" t="s">
        <v>19</v>
      </c>
      <c r="K108" s="2" t="str">
        <f>_xlfn.XLOOKUP(TRIM(Table1[[#This Row],[Membership]]),Sheet2!$A$2:$A$7,Sheet2!$B$2:$B$7,"Checkmanually")</f>
        <v>Bronze</v>
      </c>
      <c r="L108" s="3">
        <v>44094</v>
      </c>
    </row>
    <row r="109" spans="1:12" x14ac:dyDescent="0.25">
      <c r="A109" s="2" t="s">
        <v>481</v>
      </c>
      <c r="B109" s="2" t="s">
        <v>482</v>
      </c>
      <c r="C109" s="2" t="s">
        <v>13</v>
      </c>
      <c r="D109" s="3">
        <v>20348</v>
      </c>
      <c r="E109" s="2" t="s">
        <v>483</v>
      </c>
      <c r="F109" s="2" t="s">
        <v>484</v>
      </c>
      <c r="G109" s="2" t="s">
        <v>131</v>
      </c>
      <c r="H109" s="2" t="s">
        <v>91</v>
      </c>
      <c r="I109" s="2" t="s">
        <v>18</v>
      </c>
      <c r="J109" s="2" t="s">
        <v>183</v>
      </c>
      <c r="K109" s="2" t="str">
        <f>_xlfn.XLOOKUP(TRIM(Table1[[#This Row],[Membership]]),Sheet2!$A$2:$A$7,Sheet2!$B$2:$B$7,"Checkmanually")</f>
        <v>Gold</v>
      </c>
      <c r="L109" s="3">
        <v>43521</v>
      </c>
    </row>
    <row r="110" spans="1:12" x14ac:dyDescent="0.25">
      <c r="A110" s="2" t="s">
        <v>485</v>
      </c>
      <c r="B110" s="2" t="s">
        <v>486</v>
      </c>
      <c r="C110" s="2" t="s">
        <v>13</v>
      </c>
      <c r="D110" s="3">
        <v>36333</v>
      </c>
      <c r="E110" s="2" t="s">
        <v>487</v>
      </c>
      <c r="F110" s="2" t="s">
        <v>488</v>
      </c>
      <c r="G110" s="2" t="s">
        <v>131</v>
      </c>
      <c r="H110" s="2" t="s">
        <v>91</v>
      </c>
      <c r="I110" s="2" t="s">
        <v>18</v>
      </c>
      <c r="J110" s="2" t="s">
        <v>19</v>
      </c>
      <c r="K110" s="2" t="str">
        <f>_xlfn.XLOOKUP(TRIM(Table1[[#This Row],[Membership]]),Sheet2!$A$2:$A$7,Sheet2!$B$2:$B$7,"Checkmanually")</f>
        <v>Bronze</v>
      </c>
      <c r="L110" s="3">
        <v>45471</v>
      </c>
    </row>
    <row r="111" spans="1:12" x14ac:dyDescent="0.25">
      <c r="A111" s="2" t="s">
        <v>489</v>
      </c>
      <c r="B111" s="2" t="s">
        <v>490</v>
      </c>
      <c r="C111" s="2" t="s">
        <v>33</v>
      </c>
      <c r="D111" s="3">
        <v>33186</v>
      </c>
      <c r="E111" s="2" t="s">
        <v>491</v>
      </c>
      <c r="F111" s="2" t="s">
        <v>492</v>
      </c>
      <c r="G111" s="2" t="s">
        <v>30</v>
      </c>
      <c r="H111" s="2" t="s">
        <v>17</v>
      </c>
      <c r="I111" s="2" t="s">
        <v>18</v>
      </c>
      <c r="J111" s="2" t="s">
        <v>183</v>
      </c>
      <c r="K111" s="2" t="str">
        <f>_xlfn.XLOOKUP(TRIM(Table1[[#This Row],[Membership]]),Sheet2!$A$2:$A$7,Sheet2!$B$2:$B$7,"Checkmanually")</f>
        <v>Gold</v>
      </c>
      <c r="L111" s="3">
        <v>45092</v>
      </c>
    </row>
    <row r="112" spans="1:12" x14ac:dyDescent="0.25">
      <c r="A112" s="2" t="s">
        <v>493</v>
      </c>
      <c r="B112" s="2" t="s">
        <v>494</v>
      </c>
      <c r="C112" s="2" t="s">
        <v>13</v>
      </c>
      <c r="D112" s="3">
        <v>36077</v>
      </c>
      <c r="E112" s="2" t="s">
        <v>495</v>
      </c>
      <c r="F112" s="2" t="s">
        <v>496</v>
      </c>
      <c r="G112" s="2" t="s">
        <v>121</v>
      </c>
      <c r="H112" s="2" t="s">
        <v>122</v>
      </c>
      <c r="I112" s="2" t="s">
        <v>18</v>
      </c>
      <c r="J112" s="2" t="s">
        <v>19</v>
      </c>
      <c r="K112" s="2" t="str">
        <f>_xlfn.XLOOKUP(TRIM(Table1[[#This Row],[Membership]]),Sheet2!$A$2:$A$7,Sheet2!$B$2:$B$7,"Checkmanually")</f>
        <v>Bronze</v>
      </c>
      <c r="L112" s="3">
        <v>44050</v>
      </c>
    </row>
    <row r="113" spans="1:12" x14ac:dyDescent="0.25">
      <c r="A113" s="2" t="s">
        <v>497</v>
      </c>
      <c r="B113" s="2" t="s">
        <v>498</v>
      </c>
      <c r="C113" s="2" t="s">
        <v>33</v>
      </c>
      <c r="D113" s="3">
        <v>30439</v>
      </c>
      <c r="E113" s="2" t="s">
        <v>499</v>
      </c>
      <c r="F113" s="2" t="s">
        <v>500</v>
      </c>
      <c r="G113" s="2" t="s">
        <v>16</v>
      </c>
      <c r="H113" s="2" t="s">
        <v>17</v>
      </c>
      <c r="I113" s="2" t="s">
        <v>18</v>
      </c>
      <c r="J113" s="2" t="s">
        <v>25</v>
      </c>
      <c r="K113" s="2" t="str">
        <f>_xlfn.XLOOKUP(TRIM(Table1[[#This Row],[Membership]]),Sheet2!$A$2:$A$7,Sheet2!$B$2:$B$7,"Checkmanually")</f>
        <v>Silver</v>
      </c>
      <c r="L113" s="3">
        <v>45367</v>
      </c>
    </row>
    <row r="114" spans="1:12" x14ac:dyDescent="0.25">
      <c r="A114" s="2" t="s">
        <v>501</v>
      </c>
      <c r="B114" s="2" t="s">
        <v>502</v>
      </c>
      <c r="C114" s="2" t="s">
        <v>13</v>
      </c>
      <c r="D114" s="3">
        <v>23921</v>
      </c>
      <c r="E114" s="2" t="s">
        <v>503</v>
      </c>
      <c r="F114" s="2" t="s">
        <v>504</v>
      </c>
      <c r="G114" s="2" t="s">
        <v>131</v>
      </c>
      <c r="H114" s="2" t="s">
        <v>91</v>
      </c>
      <c r="I114" s="2" t="s">
        <v>18</v>
      </c>
      <c r="J114" s="2" t="s">
        <v>19</v>
      </c>
      <c r="K114" s="2" t="str">
        <f>_xlfn.XLOOKUP(TRIM(Table1[[#This Row],[Membership]]),Sheet2!$A$2:$A$7,Sheet2!$B$2:$B$7,"Checkmanually")</f>
        <v>Bronze</v>
      </c>
      <c r="L114" s="3">
        <v>45127</v>
      </c>
    </row>
    <row r="115" spans="1:12" x14ac:dyDescent="0.25">
      <c r="A115" s="2" t="s">
        <v>505</v>
      </c>
      <c r="B115" s="2" t="s">
        <v>506</v>
      </c>
      <c r="C115" s="2" t="s">
        <v>33</v>
      </c>
      <c r="D115" s="3">
        <v>20771</v>
      </c>
      <c r="E115" s="2" t="s">
        <v>507</v>
      </c>
      <c r="F115" s="2" t="s">
        <v>508</v>
      </c>
      <c r="G115" s="2" t="s">
        <v>509</v>
      </c>
      <c r="H115" s="2" t="s">
        <v>510</v>
      </c>
      <c r="I115" s="2" t="s">
        <v>49</v>
      </c>
      <c r="J115" s="2" t="s">
        <v>19</v>
      </c>
      <c r="K115" s="2" t="str">
        <f>_xlfn.XLOOKUP(TRIM(Table1[[#This Row],[Membership]]),Sheet2!$A$2:$A$7,Sheet2!$B$2:$B$7,"Checkmanually")</f>
        <v>Bronze</v>
      </c>
      <c r="L115" s="3">
        <v>43761</v>
      </c>
    </row>
    <row r="116" spans="1:12" x14ac:dyDescent="0.25">
      <c r="A116" s="2" t="s">
        <v>511</v>
      </c>
      <c r="B116" s="2" t="s">
        <v>512</v>
      </c>
      <c r="C116" s="2" t="s">
        <v>33</v>
      </c>
      <c r="D116" s="3">
        <v>27695</v>
      </c>
      <c r="E116" s="2" t="s">
        <v>513</v>
      </c>
      <c r="F116" s="2" t="s">
        <v>514</v>
      </c>
      <c r="G116" s="2" t="s">
        <v>90</v>
      </c>
      <c r="H116" s="2" t="s">
        <v>91</v>
      </c>
      <c r="I116" s="2" t="s">
        <v>18</v>
      </c>
      <c r="J116" s="2" t="s">
        <v>25</v>
      </c>
      <c r="K116" s="2" t="str">
        <f>_xlfn.XLOOKUP(TRIM(Table1[[#This Row],[Membership]]),Sheet2!$A$2:$A$7,Sheet2!$B$2:$B$7,"Checkmanually")</f>
        <v>Silver</v>
      </c>
      <c r="L116" s="3">
        <v>45180</v>
      </c>
    </row>
    <row r="117" spans="1:12" x14ac:dyDescent="0.25">
      <c r="A117" s="2" t="s">
        <v>515</v>
      </c>
      <c r="B117" s="2" t="s">
        <v>516</v>
      </c>
      <c r="C117" s="2" t="s">
        <v>33</v>
      </c>
      <c r="D117" s="3">
        <v>35440</v>
      </c>
      <c r="E117" s="2" t="s">
        <v>517</v>
      </c>
      <c r="F117" s="2" t="s">
        <v>518</v>
      </c>
      <c r="G117" s="2" t="s">
        <v>24</v>
      </c>
      <c r="H117" s="2" t="s">
        <v>17</v>
      </c>
      <c r="I117" s="2" t="s">
        <v>18</v>
      </c>
      <c r="J117" s="2" t="s">
        <v>19</v>
      </c>
      <c r="K117" s="2" t="str">
        <f>_xlfn.XLOOKUP(TRIM(Table1[[#This Row],[Membership]]),Sheet2!$A$2:$A$7,Sheet2!$B$2:$B$7,"Checkmanually")</f>
        <v>Bronze</v>
      </c>
      <c r="L117" s="3">
        <v>43638</v>
      </c>
    </row>
    <row r="118" spans="1:12" x14ac:dyDescent="0.25">
      <c r="A118" s="2" t="s">
        <v>519</v>
      </c>
      <c r="B118" s="2" t="s">
        <v>520</v>
      </c>
      <c r="C118" s="2" t="s">
        <v>33</v>
      </c>
      <c r="D118" s="3">
        <v>31894</v>
      </c>
      <c r="E118" s="2" t="s">
        <v>521</v>
      </c>
      <c r="F118" s="2" t="s">
        <v>522</v>
      </c>
      <c r="G118" s="2" t="s">
        <v>131</v>
      </c>
      <c r="H118" s="2" t="s">
        <v>91</v>
      </c>
      <c r="I118" s="2" t="s">
        <v>18</v>
      </c>
      <c r="J118" s="2" t="s">
        <v>19</v>
      </c>
      <c r="K118" s="2" t="str">
        <f>_xlfn.XLOOKUP(TRIM(Table1[[#This Row],[Membership]]),Sheet2!$A$2:$A$7,Sheet2!$B$2:$B$7,"Checkmanually")</f>
        <v>Bronze</v>
      </c>
      <c r="L118" s="3">
        <v>45035</v>
      </c>
    </row>
    <row r="119" spans="1:12" x14ac:dyDescent="0.25">
      <c r="A119" s="2" t="s">
        <v>523</v>
      </c>
      <c r="B119" s="2" t="s">
        <v>524</v>
      </c>
      <c r="C119" s="2" t="s">
        <v>33</v>
      </c>
      <c r="D119" s="3">
        <v>22914</v>
      </c>
      <c r="E119" s="2" t="s">
        <v>525</v>
      </c>
      <c r="F119" s="2" t="s">
        <v>526</v>
      </c>
      <c r="G119" s="2" t="s">
        <v>527</v>
      </c>
      <c r="H119" s="2" t="s">
        <v>388</v>
      </c>
      <c r="I119" s="2" t="s">
        <v>146</v>
      </c>
      <c r="J119" s="2" t="s">
        <v>25</v>
      </c>
      <c r="K119" s="2" t="str">
        <f>_xlfn.XLOOKUP(TRIM(Table1[[#This Row],[Membership]]),Sheet2!$A$2:$A$7,Sheet2!$B$2:$B$7,"Checkmanually")</f>
        <v>Silver</v>
      </c>
      <c r="L119" s="3">
        <v>45833</v>
      </c>
    </row>
    <row r="120" spans="1:12" x14ac:dyDescent="0.25">
      <c r="A120" s="2" t="s">
        <v>528</v>
      </c>
      <c r="B120" s="2" t="s">
        <v>529</v>
      </c>
      <c r="C120" s="2" t="s">
        <v>13</v>
      </c>
      <c r="D120" s="3">
        <v>36217</v>
      </c>
      <c r="E120" s="2" t="s">
        <v>530</v>
      </c>
      <c r="F120" s="2" t="s">
        <v>531</v>
      </c>
      <c r="G120" s="2" t="s">
        <v>54</v>
      </c>
      <c r="H120" s="2" t="s">
        <v>17</v>
      </c>
      <c r="I120" s="2" t="s">
        <v>18</v>
      </c>
      <c r="J120" s="2" t="s">
        <v>183</v>
      </c>
      <c r="K120" s="2" t="str">
        <f>_xlfn.XLOOKUP(TRIM(Table1[[#This Row],[Membership]]),Sheet2!$A$2:$A$7,Sheet2!$B$2:$B$7,"Checkmanually")</f>
        <v>Gold</v>
      </c>
      <c r="L120" s="3">
        <v>43514</v>
      </c>
    </row>
    <row r="121" spans="1:12" x14ac:dyDescent="0.25">
      <c r="A121" s="2" t="s">
        <v>532</v>
      </c>
      <c r="B121" s="2" t="s">
        <v>533</v>
      </c>
      <c r="C121" s="2" t="s">
        <v>13</v>
      </c>
      <c r="D121" s="3">
        <v>26952</v>
      </c>
      <c r="E121" s="2" t="s">
        <v>534</v>
      </c>
      <c r="F121" s="2" t="s">
        <v>535</v>
      </c>
      <c r="G121" s="2" t="s">
        <v>90</v>
      </c>
      <c r="H121" s="2" t="s">
        <v>91</v>
      </c>
      <c r="I121" s="2" t="s">
        <v>18</v>
      </c>
      <c r="J121" s="2" t="s">
        <v>25</v>
      </c>
      <c r="K121" s="2" t="str">
        <f>_xlfn.XLOOKUP(TRIM(Table1[[#This Row],[Membership]]),Sheet2!$A$2:$A$7,Sheet2!$B$2:$B$7,"Checkmanually")</f>
        <v>Silver</v>
      </c>
      <c r="L121" s="3">
        <v>45381</v>
      </c>
    </row>
    <row r="122" spans="1:12" x14ac:dyDescent="0.25">
      <c r="A122" s="2" t="s">
        <v>536</v>
      </c>
      <c r="B122" s="2" t="s">
        <v>537</v>
      </c>
      <c r="C122" s="2" t="s">
        <v>33</v>
      </c>
      <c r="D122" s="3">
        <v>25287</v>
      </c>
      <c r="E122" s="2" t="s">
        <v>538</v>
      </c>
      <c r="F122" s="2" t="s">
        <v>539</v>
      </c>
      <c r="G122" s="2" t="s">
        <v>540</v>
      </c>
      <c r="H122" s="2" t="s">
        <v>48</v>
      </c>
      <c r="I122" s="2" t="s">
        <v>49</v>
      </c>
      <c r="J122" s="2" t="s">
        <v>25</v>
      </c>
      <c r="K122" s="2" t="str">
        <f>_xlfn.XLOOKUP(TRIM(Table1[[#This Row],[Membership]]),Sheet2!$A$2:$A$7,Sheet2!$B$2:$B$7,"Checkmanually")</f>
        <v>Silver</v>
      </c>
      <c r="L122" s="3">
        <v>43816</v>
      </c>
    </row>
    <row r="123" spans="1:12" x14ac:dyDescent="0.25">
      <c r="A123" s="2" t="s">
        <v>541</v>
      </c>
      <c r="B123" s="2" t="s">
        <v>542</v>
      </c>
      <c r="C123" s="2" t="s">
        <v>13</v>
      </c>
      <c r="D123" s="3">
        <v>31156</v>
      </c>
      <c r="E123" s="2" t="s">
        <v>543</v>
      </c>
      <c r="F123" s="2" t="s">
        <v>544</v>
      </c>
      <c r="G123" s="2" t="s">
        <v>104</v>
      </c>
      <c r="H123" s="2" t="s">
        <v>105</v>
      </c>
      <c r="I123" s="2" t="s">
        <v>42</v>
      </c>
      <c r="J123" s="2" t="s">
        <v>19</v>
      </c>
      <c r="K123" s="2" t="str">
        <f>_xlfn.XLOOKUP(TRIM(Table1[[#This Row],[Membership]]),Sheet2!$A$2:$A$7,Sheet2!$B$2:$B$7,"Checkmanually")</f>
        <v>Bronze</v>
      </c>
      <c r="L123" s="3">
        <v>44864</v>
      </c>
    </row>
    <row r="124" spans="1:12" x14ac:dyDescent="0.25">
      <c r="A124" s="2" t="s">
        <v>545</v>
      </c>
      <c r="B124" s="2" t="s">
        <v>546</v>
      </c>
      <c r="C124" s="2" t="s">
        <v>13</v>
      </c>
      <c r="D124" s="3">
        <v>36027</v>
      </c>
      <c r="E124" s="2" t="s">
        <v>547</v>
      </c>
      <c r="F124" s="2" t="s">
        <v>548</v>
      </c>
      <c r="G124" s="2" t="s">
        <v>63</v>
      </c>
      <c r="H124" s="2" t="s">
        <v>17</v>
      </c>
      <c r="I124" s="2" t="s">
        <v>18</v>
      </c>
      <c r="J124" s="2" t="s">
        <v>19</v>
      </c>
      <c r="K124" s="2" t="str">
        <f>_xlfn.XLOOKUP(TRIM(Table1[[#This Row],[Membership]]),Sheet2!$A$2:$A$7,Sheet2!$B$2:$B$7,"Checkmanually")</f>
        <v>Bronze</v>
      </c>
      <c r="L124" s="3">
        <v>44157</v>
      </c>
    </row>
    <row r="125" spans="1:12" x14ac:dyDescent="0.25">
      <c r="A125" s="2" t="s">
        <v>549</v>
      </c>
      <c r="B125" s="2" t="s">
        <v>550</v>
      </c>
      <c r="C125" s="2" t="s">
        <v>33</v>
      </c>
      <c r="D125" s="3">
        <v>38342</v>
      </c>
      <c r="E125" s="2" t="s">
        <v>551</v>
      </c>
      <c r="F125" s="2" t="s">
        <v>552</v>
      </c>
      <c r="G125" s="2" t="s">
        <v>16</v>
      </c>
      <c r="H125" s="2" t="s">
        <v>17</v>
      </c>
      <c r="I125" s="2" t="s">
        <v>18</v>
      </c>
      <c r="J125" s="2" t="s">
        <v>19</v>
      </c>
      <c r="K125" s="2" t="str">
        <f>_xlfn.XLOOKUP(TRIM(Table1[[#This Row],[Membership]]),Sheet2!$A$2:$A$7,Sheet2!$B$2:$B$7,"Checkmanually")</f>
        <v>Bronze</v>
      </c>
      <c r="L125" s="3">
        <v>44196</v>
      </c>
    </row>
    <row r="126" spans="1:12" x14ac:dyDescent="0.25">
      <c r="A126" s="2" t="s">
        <v>553</v>
      </c>
      <c r="B126" s="2" t="s">
        <v>554</v>
      </c>
      <c r="C126" s="2" t="s">
        <v>33</v>
      </c>
      <c r="D126" s="3">
        <v>34436</v>
      </c>
      <c r="E126" s="2" t="s">
        <v>555</v>
      </c>
      <c r="F126" s="2" t="s">
        <v>556</v>
      </c>
      <c r="G126" s="2" t="s">
        <v>104</v>
      </c>
      <c r="H126" s="2" t="s">
        <v>105</v>
      </c>
      <c r="I126" s="2" t="s">
        <v>42</v>
      </c>
      <c r="J126" s="2" t="s">
        <v>19</v>
      </c>
      <c r="K126" s="2" t="str">
        <f>_xlfn.XLOOKUP(TRIM(Table1[[#This Row],[Membership]]),Sheet2!$A$2:$A$7,Sheet2!$B$2:$B$7,"Checkmanually")</f>
        <v>Bronze</v>
      </c>
      <c r="L126" s="3">
        <v>44973</v>
      </c>
    </row>
    <row r="127" spans="1:12" x14ac:dyDescent="0.25">
      <c r="A127" s="2" t="s">
        <v>557</v>
      </c>
      <c r="B127" s="2" t="s">
        <v>558</v>
      </c>
      <c r="C127" s="2" t="s">
        <v>13</v>
      </c>
      <c r="D127" s="3">
        <v>23428</v>
      </c>
      <c r="E127" s="2" t="s">
        <v>559</v>
      </c>
      <c r="F127" s="2" t="s">
        <v>560</v>
      </c>
      <c r="G127" s="2" t="s">
        <v>63</v>
      </c>
      <c r="H127" s="2" t="s">
        <v>17</v>
      </c>
      <c r="I127" s="2" t="s">
        <v>18</v>
      </c>
      <c r="J127" s="2" t="s">
        <v>19</v>
      </c>
      <c r="K127" s="2" t="str">
        <f>_xlfn.XLOOKUP(TRIM(Table1[[#This Row],[Membership]]),Sheet2!$A$2:$A$7,Sheet2!$B$2:$B$7,"Checkmanually")</f>
        <v>Bronze</v>
      </c>
      <c r="L127" s="3">
        <v>45404</v>
      </c>
    </row>
    <row r="128" spans="1:12" x14ac:dyDescent="0.25">
      <c r="A128" s="2" t="s">
        <v>561</v>
      </c>
      <c r="B128" s="2" t="s">
        <v>562</v>
      </c>
      <c r="C128" s="2" t="s">
        <v>33</v>
      </c>
      <c r="D128" s="3">
        <v>26820</v>
      </c>
      <c r="E128" s="2" t="s">
        <v>563</v>
      </c>
      <c r="F128" s="2" t="s">
        <v>564</v>
      </c>
      <c r="G128" s="2" t="s">
        <v>228</v>
      </c>
      <c r="H128" s="2" t="s">
        <v>17</v>
      </c>
      <c r="I128" s="2" t="s">
        <v>18</v>
      </c>
      <c r="J128" s="2" t="s">
        <v>19</v>
      </c>
      <c r="K128" s="2" t="str">
        <f>_xlfn.XLOOKUP(TRIM(Table1[[#This Row],[Membership]]),Sheet2!$A$2:$A$7,Sheet2!$B$2:$B$7,"Checkmanually")</f>
        <v>Bronze</v>
      </c>
      <c r="L128" s="3">
        <v>44582</v>
      </c>
    </row>
    <row r="129" spans="1:12" x14ac:dyDescent="0.25">
      <c r="A129" s="2" t="s">
        <v>565</v>
      </c>
      <c r="B129" s="2" t="s">
        <v>566</v>
      </c>
      <c r="C129" s="2" t="s">
        <v>13</v>
      </c>
      <c r="D129" s="3">
        <v>36421</v>
      </c>
      <c r="E129" s="2" t="s">
        <v>567</v>
      </c>
      <c r="F129" s="2" t="s">
        <v>568</v>
      </c>
      <c r="G129" s="2" t="s">
        <v>90</v>
      </c>
      <c r="H129" s="2" t="s">
        <v>91</v>
      </c>
      <c r="I129" s="2" t="s">
        <v>18</v>
      </c>
      <c r="J129" s="2" t="s">
        <v>19</v>
      </c>
      <c r="K129" s="2" t="str">
        <f>_xlfn.XLOOKUP(TRIM(Table1[[#This Row],[Membership]]),Sheet2!$A$2:$A$7,Sheet2!$B$2:$B$7,"Checkmanually")</f>
        <v>Bronze</v>
      </c>
      <c r="L129" s="3">
        <v>43507</v>
      </c>
    </row>
    <row r="130" spans="1:12" x14ac:dyDescent="0.25">
      <c r="A130" s="2" t="s">
        <v>569</v>
      </c>
      <c r="B130" s="2" t="s">
        <v>570</v>
      </c>
      <c r="C130" s="2" t="s">
        <v>33</v>
      </c>
      <c r="D130" s="3">
        <v>24119</v>
      </c>
      <c r="E130" s="2" t="s">
        <v>571</v>
      </c>
      <c r="F130" s="2" t="s">
        <v>572</v>
      </c>
      <c r="G130" s="2" t="s">
        <v>24</v>
      </c>
      <c r="H130" s="2" t="s">
        <v>17</v>
      </c>
      <c r="I130" s="2" t="s">
        <v>18</v>
      </c>
      <c r="J130" s="2" t="s">
        <v>19</v>
      </c>
      <c r="K130" s="2" t="str">
        <f>_xlfn.XLOOKUP(TRIM(Table1[[#This Row],[Membership]]),Sheet2!$A$2:$A$7,Sheet2!$B$2:$B$7,"Checkmanually")</f>
        <v>Bronze</v>
      </c>
      <c r="L130" s="3">
        <v>43927</v>
      </c>
    </row>
    <row r="131" spans="1:12" x14ac:dyDescent="0.25">
      <c r="A131" s="2" t="s">
        <v>573</v>
      </c>
      <c r="B131" s="2" t="s">
        <v>574</v>
      </c>
      <c r="C131" s="2" t="s">
        <v>13</v>
      </c>
      <c r="D131" s="3">
        <v>35611</v>
      </c>
      <c r="E131" s="2" t="s">
        <v>575</v>
      </c>
      <c r="F131" s="2" t="s">
        <v>576</v>
      </c>
      <c r="G131" s="2" t="s">
        <v>577</v>
      </c>
      <c r="H131" s="2" t="s">
        <v>388</v>
      </c>
      <c r="I131" s="2" t="s">
        <v>146</v>
      </c>
      <c r="J131" s="2" t="s">
        <v>19</v>
      </c>
      <c r="K131" s="2" t="str">
        <f>_xlfn.XLOOKUP(TRIM(Table1[[#This Row],[Membership]]),Sheet2!$A$2:$A$7,Sheet2!$B$2:$B$7,"Checkmanually")</f>
        <v>Bronze</v>
      </c>
      <c r="L131" s="3">
        <v>44499</v>
      </c>
    </row>
    <row r="132" spans="1:12" x14ac:dyDescent="0.25">
      <c r="A132" s="2" t="s">
        <v>578</v>
      </c>
      <c r="B132" s="2" t="s">
        <v>579</v>
      </c>
      <c r="C132" s="2" t="s">
        <v>33</v>
      </c>
      <c r="D132" s="3">
        <v>33689</v>
      </c>
      <c r="E132" s="2" t="s">
        <v>580</v>
      </c>
      <c r="F132" s="2" t="s">
        <v>581</v>
      </c>
      <c r="G132" s="2" t="s">
        <v>63</v>
      </c>
      <c r="H132" s="2" t="s">
        <v>17</v>
      </c>
      <c r="I132" s="2" t="s">
        <v>18</v>
      </c>
      <c r="J132" s="2" t="s">
        <v>25</v>
      </c>
      <c r="K132" s="2" t="str">
        <f>_xlfn.XLOOKUP(TRIM(Table1[[#This Row],[Membership]]),Sheet2!$A$2:$A$7,Sheet2!$B$2:$B$7,"Checkmanually")</f>
        <v>Silver</v>
      </c>
      <c r="L132" s="3">
        <v>44578</v>
      </c>
    </row>
    <row r="133" spans="1:12" x14ac:dyDescent="0.25">
      <c r="A133" s="2" t="s">
        <v>582</v>
      </c>
      <c r="B133" s="2" t="s">
        <v>583</v>
      </c>
      <c r="C133" s="2" t="s">
        <v>33</v>
      </c>
      <c r="D133" s="3">
        <v>37445</v>
      </c>
      <c r="E133" s="2" t="s">
        <v>584</v>
      </c>
      <c r="F133" s="2" t="s">
        <v>585</v>
      </c>
      <c r="G133" s="2" t="s">
        <v>228</v>
      </c>
      <c r="H133" s="2" t="s">
        <v>17</v>
      </c>
      <c r="I133" s="2" t="s">
        <v>18</v>
      </c>
      <c r="J133" s="2" t="s">
        <v>19</v>
      </c>
      <c r="K133" s="2" t="str">
        <f>_xlfn.XLOOKUP(TRIM(Table1[[#This Row],[Membership]]),Sheet2!$A$2:$A$7,Sheet2!$B$2:$B$7,"Checkmanually")</f>
        <v>Bronze</v>
      </c>
      <c r="L133" s="3">
        <v>44828</v>
      </c>
    </row>
    <row r="134" spans="1:12" x14ac:dyDescent="0.25">
      <c r="A134" s="2" t="s">
        <v>586</v>
      </c>
      <c r="B134" s="2" t="s">
        <v>587</v>
      </c>
      <c r="C134" s="2" t="s">
        <v>13</v>
      </c>
      <c r="D134" s="3">
        <v>33502</v>
      </c>
      <c r="E134" s="2" t="s">
        <v>588</v>
      </c>
      <c r="F134" s="2" t="s">
        <v>589</v>
      </c>
      <c r="G134" s="2" t="s">
        <v>131</v>
      </c>
      <c r="H134" s="2" t="s">
        <v>91</v>
      </c>
      <c r="I134" s="2" t="s">
        <v>18</v>
      </c>
      <c r="J134" s="2" t="s">
        <v>25</v>
      </c>
      <c r="K134" s="2" t="str">
        <f>_xlfn.XLOOKUP(TRIM(Table1[[#This Row],[Membership]]),Sheet2!$A$2:$A$7,Sheet2!$B$2:$B$7,"Checkmanually")</f>
        <v>Silver</v>
      </c>
      <c r="L134" s="3">
        <v>44980</v>
      </c>
    </row>
    <row r="135" spans="1:12" x14ac:dyDescent="0.25">
      <c r="A135" s="2" t="s">
        <v>590</v>
      </c>
      <c r="B135" s="2" t="s">
        <v>591</v>
      </c>
      <c r="C135" s="2" t="s">
        <v>33</v>
      </c>
      <c r="D135" s="3">
        <v>34592</v>
      </c>
      <c r="E135" s="2" t="s">
        <v>592</v>
      </c>
      <c r="F135" s="2" t="s">
        <v>593</v>
      </c>
      <c r="G135" s="2" t="s">
        <v>24</v>
      </c>
      <c r="H135" s="2" t="s">
        <v>17</v>
      </c>
      <c r="I135" s="2" t="s">
        <v>18</v>
      </c>
      <c r="J135" s="2" t="s">
        <v>19</v>
      </c>
      <c r="K135" s="2" t="str">
        <f>_xlfn.XLOOKUP(TRIM(Table1[[#This Row],[Membership]]),Sheet2!$A$2:$A$7,Sheet2!$B$2:$B$7,"Checkmanually")</f>
        <v>Bronze</v>
      </c>
      <c r="L135" s="3">
        <v>43697</v>
      </c>
    </row>
    <row r="136" spans="1:12" x14ac:dyDescent="0.25">
      <c r="A136" s="2" t="s">
        <v>594</v>
      </c>
      <c r="B136" s="2" t="s">
        <v>595</v>
      </c>
      <c r="C136" s="2" t="s">
        <v>33</v>
      </c>
      <c r="D136" s="3">
        <v>22868</v>
      </c>
      <c r="E136" s="2" t="s">
        <v>596</v>
      </c>
      <c r="F136" s="2" t="s">
        <v>597</v>
      </c>
      <c r="G136" s="2" t="s">
        <v>84</v>
      </c>
      <c r="H136" s="2" t="s">
        <v>85</v>
      </c>
      <c r="I136" s="2" t="s">
        <v>18</v>
      </c>
      <c r="J136" s="2" t="s">
        <v>19</v>
      </c>
      <c r="K136" s="2" t="str">
        <f>_xlfn.XLOOKUP(TRIM(Table1[[#This Row],[Membership]]),Sheet2!$A$2:$A$7,Sheet2!$B$2:$B$7,"Checkmanually")</f>
        <v>Bronze</v>
      </c>
      <c r="L136" s="3">
        <v>44486</v>
      </c>
    </row>
    <row r="137" spans="1:12" x14ac:dyDescent="0.25">
      <c r="A137" s="2" t="s">
        <v>598</v>
      </c>
      <c r="B137" s="2" t="s">
        <v>599</v>
      </c>
      <c r="C137" s="2" t="s">
        <v>13</v>
      </c>
      <c r="D137" s="3">
        <v>32976</v>
      </c>
      <c r="E137" s="2" t="s">
        <v>600</v>
      </c>
      <c r="F137" s="2" t="s">
        <v>601</v>
      </c>
      <c r="G137" s="2" t="s">
        <v>228</v>
      </c>
      <c r="H137" s="2" t="s">
        <v>17</v>
      </c>
      <c r="I137" s="2" t="s">
        <v>18</v>
      </c>
      <c r="J137" s="2" t="s">
        <v>25</v>
      </c>
      <c r="K137" s="2" t="str">
        <f>_xlfn.XLOOKUP(TRIM(Table1[[#This Row],[Membership]]),Sheet2!$A$2:$A$7,Sheet2!$B$2:$B$7,"Checkmanually")</f>
        <v>Silver</v>
      </c>
      <c r="L137" s="3">
        <v>43252</v>
      </c>
    </row>
    <row r="138" spans="1:12" x14ac:dyDescent="0.25">
      <c r="A138" s="2" t="s">
        <v>602</v>
      </c>
      <c r="B138" s="2" t="s">
        <v>603</v>
      </c>
      <c r="C138" s="2" t="s">
        <v>33</v>
      </c>
      <c r="D138" s="3">
        <v>37122</v>
      </c>
      <c r="E138" s="2" t="s">
        <v>604</v>
      </c>
      <c r="F138" s="2" t="s">
        <v>605</v>
      </c>
      <c r="G138" s="2" t="s">
        <v>527</v>
      </c>
      <c r="H138" s="2" t="s">
        <v>388</v>
      </c>
      <c r="I138" s="2" t="s">
        <v>146</v>
      </c>
      <c r="J138" s="2" t="s">
        <v>183</v>
      </c>
      <c r="K138" s="2" t="str">
        <f>_xlfn.XLOOKUP(TRIM(Table1[[#This Row],[Membership]]),Sheet2!$A$2:$A$7,Sheet2!$B$2:$B$7,"Checkmanually")</f>
        <v>Gold</v>
      </c>
      <c r="L138" s="3">
        <v>44312</v>
      </c>
    </row>
    <row r="139" spans="1:12" x14ac:dyDescent="0.25">
      <c r="A139" s="2" t="s">
        <v>606</v>
      </c>
      <c r="B139" s="2" t="s">
        <v>607</v>
      </c>
      <c r="C139" s="2" t="s">
        <v>13</v>
      </c>
      <c r="D139" s="3">
        <v>30369</v>
      </c>
      <c r="E139" s="2" t="s">
        <v>608</v>
      </c>
      <c r="F139" s="2" t="s">
        <v>609</v>
      </c>
      <c r="G139" s="2" t="s">
        <v>84</v>
      </c>
      <c r="H139" s="2" t="s">
        <v>85</v>
      </c>
      <c r="I139" s="2" t="s">
        <v>18</v>
      </c>
      <c r="J139" s="2" t="s">
        <v>19</v>
      </c>
      <c r="K139" s="2" t="str">
        <f>_xlfn.XLOOKUP(TRIM(Table1[[#This Row],[Membership]]),Sheet2!$A$2:$A$7,Sheet2!$B$2:$B$7,"Checkmanually")</f>
        <v>Bronze</v>
      </c>
      <c r="L139" s="3">
        <v>44510</v>
      </c>
    </row>
    <row r="140" spans="1:12" x14ac:dyDescent="0.25">
      <c r="A140" s="2" t="s">
        <v>610</v>
      </c>
      <c r="B140" s="2" t="s">
        <v>611</v>
      </c>
      <c r="C140" s="2" t="s">
        <v>33</v>
      </c>
      <c r="D140" s="3">
        <v>24902</v>
      </c>
      <c r="E140" s="2" t="s">
        <v>612</v>
      </c>
      <c r="F140" s="2" t="s">
        <v>613</v>
      </c>
      <c r="G140" s="2" t="s">
        <v>84</v>
      </c>
      <c r="H140" s="2" t="s">
        <v>85</v>
      </c>
      <c r="I140" s="2" t="s">
        <v>18</v>
      </c>
      <c r="J140" s="2" t="s">
        <v>19</v>
      </c>
      <c r="K140" s="2" t="str">
        <f>_xlfn.XLOOKUP(TRIM(Table1[[#This Row],[Membership]]),Sheet2!$A$2:$A$7,Sheet2!$B$2:$B$7,"Checkmanually")</f>
        <v>Bronze</v>
      </c>
      <c r="L140" s="3">
        <v>45969</v>
      </c>
    </row>
    <row r="141" spans="1:12" x14ac:dyDescent="0.25">
      <c r="A141" s="2" t="s">
        <v>614</v>
      </c>
      <c r="B141" s="2" t="s">
        <v>615</v>
      </c>
      <c r="C141" s="2" t="s">
        <v>33</v>
      </c>
      <c r="D141" s="3">
        <v>34578</v>
      </c>
      <c r="E141" s="2" t="s">
        <v>616</v>
      </c>
      <c r="F141" s="2" t="s">
        <v>617</v>
      </c>
      <c r="G141" s="2" t="s">
        <v>54</v>
      </c>
      <c r="H141" s="2" t="s">
        <v>17</v>
      </c>
      <c r="I141" s="2" t="s">
        <v>18</v>
      </c>
      <c r="J141" s="2" t="s">
        <v>19</v>
      </c>
      <c r="K141" s="2" t="str">
        <f>_xlfn.XLOOKUP(TRIM(Table1[[#This Row],[Membership]]),Sheet2!$A$2:$A$7,Sheet2!$B$2:$B$7,"Checkmanually")</f>
        <v>Bronze</v>
      </c>
      <c r="L141" s="3">
        <v>45957</v>
      </c>
    </row>
    <row r="142" spans="1:12" x14ac:dyDescent="0.25">
      <c r="A142" s="2" t="s">
        <v>618</v>
      </c>
      <c r="B142" s="2" t="s">
        <v>619</v>
      </c>
      <c r="C142" s="2" t="s">
        <v>33</v>
      </c>
      <c r="D142" s="3">
        <v>29970</v>
      </c>
      <c r="E142" s="2" t="s">
        <v>620</v>
      </c>
      <c r="F142" s="2" t="s">
        <v>621</v>
      </c>
      <c r="G142" s="2" t="s">
        <v>40</v>
      </c>
      <c r="H142" s="2" t="s">
        <v>41</v>
      </c>
      <c r="I142" s="2" t="s">
        <v>42</v>
      </c>
      <c r="J142" s="2" t="s">
        <v>19</v>
      </c>
      <c r="K142" s="2" t="str">
        <f>_xlfn.XLOOKUP(TRIM(Table1[[#This Row],[Membership]]),Sheet2!$A$2:$A$7,Sheet2!$B$2:$B$7,"Checkmanually")</f>
        <v>Bronze</v>
      </c>
      <c r="L142" s="3">
        <v>43446</v>
      </c>
    </row>
    <row r="143" spans="1:12" x14ac:dyDescent="0.25">
      <c r="A143" s="2" t="s">
        <v>622</v>
      </c>
      <c r="B143" s="2" t="s">
        <v>623</v>
      </c>
      <c r="C143" s="2" t="s">
        <v>13</v>
      </c>
      <c r="D143" s="3">
        <v>24218</v>
      </c>
      <c r="E143" s="2" t="s">
        <v>624</v>
      </c>
      <c r="F143" s="2" t="s">
        <v>625</v>
      </c>
      <c r="G143" s="2" t="s">
        <v>131</v>
      </c>
      <c r="H143" s="2" t="s">
        <v>91</v>
      </c>
      <c r="I143" s="2" t="s">
        <v>18</v>
      </c>
      <c r="J143" s="2" t="s">
        <v>19</v>
      </c>
      <c r="K143" s="2" t="str">
        <f>_xlfn.XLOOKUP(TRIM(Table1[[#This Row],[Membership]]),Sheet2!$A$2:$A$7,Sheet2!$B$2:$B$7,"Checkmanually")</f>
        <v>Bronze</v>
      </c>
      <c r="L143" s="3">
        <v>45232</v>
      </c>
    </row>
    <row r="144" spans="1:12" x14ac:dyDescent="0.25">
      <c r="A144" s="2" t="s">
        <v>626</v>
      </c>
      <c r="B144" s="2" t="s">
        <v>627</v>
      </c>
      <c r="C144" s="2" t="s">
        <v>13</v>
      </c>
      <c r="D144" s="3">
        <v>30321</v>
      </c>
      <c r="E144" s="2" t="s">
        <v>628</v>
      </c>
      <c r="F144" s="2" t="s">
        <v>629</v>
      </c>
      <c r="G144" s="2" t="s">
        <v>63</v>
      </c>
      <c r="H144" s="2" t="s">
        <v>17</v>
      </c>
      <c r="I144" s="2" t="s">
        <v>18</v>
      </c>
      <c r="J144" s="2" t="s">
        <v>25</v>
      </c>
      <c r="K144" s="2" t="str">
        <f>_xlfn.XLOOKUP(TRIM(Table1[[#This Row],[Membership]]),Sheet2!$A$2:$A$7,Sheet2!$B$2:$B$7,"Checkmanually")</f>
        <v>Silver</v>
      </c>
      <c r="L144" s="3">
        <v>45236</v>
      </c>
    </row>
    <row r="145" spans="1:12" x14ac:dyDescent="0.25">
      <c r="A145" s="2" t="s">
        <v>630</v>
      </c>
      <c r="B145" s="2" t="s">
        <v>631</v>
      </c>
      <c r="C145" s="2" t="s">
        <v>13</v>
      </c>
      <c r="D145" s="3">
        <v>37782</v>
      </c>
      <c r="E145" s="2" t="s">
        <v>632</v>
      </c>
      <c r="F145" s="2" t="s">
        <v>633</v>
      </c>
      <c r="G145" s="2" t="s">
        <v>228</v>
      </c>
      <c r="H145" s="2" t="s">
        <v>17</v>
      </c>
      <c r="I145" s="2" t="s">
        <v>18</v>
      </c>
      <c r="J145" s="2" t="s">
        <v>183</v>
      </c>
      <c r="K145" s="2" t="str">
        <f>_xlfn.XLOOKUP(TRIM(Table1[[#This Row],[Membership]]),Sheet2!$A$2:$A$7,Sheet2!$B$2:$B$7,"Checkmanually")</f>
        <v>Gold</v>
      </c>
      <c r="L145" s="3">
        <v>45527</v>
      </c>
    </row>
    <row r="146" spans="1:12" x14ac:dyDescent="0.25">
      <c r="A146" s="2" t="s">
        <v>634</v>
      </c>
      <c r="B146" s="2" t="s">
        <v>635</v>
      </c>
      <c r="C146" s="2" t="s">
        <v>13</v>
      </c>
      <c r="D146" s="3">
        <v>36646</v>
      </c>
      <c r="E146" s="2" t="s">
        <v>636</v>
      </c>
      <c r="F146" s="2" t="s">
        <v>637</v>
      </c>
      <c r="G146" s="2" t="s">
        <v>30</v>
      </c>
      <c r="H146" s="2" t="s">
        <v>17</v>
      </c>
      <c r="I146" s="2" t="s">
        <v>18</v>
      </c>
      <c r="J146" s="2" t="s">
        <v>19</v>
      </c>
      <c r="K146" s="2" t="str">
        <f>_xlfn.XLOOKUP(TRIM(Table1[[#This Row],[Membership]]),Sheet2!$A$2:$A$7,Sheet2!$B$2:$B$7,"Checkmanually")</f>
        <v>Bronze</v>
      </c>
      <c r="L146" s="3">
        <v>43553</v>
      </c>
    </row>
    <row r="147" spans="1:12" x14ac:dyDescent="0.25">
      <c r="A147" s="2" t="s">
        <v>638</v>
      </c>
      <c r="B147" s="2" t="s">
        <v>639</v>
      </c>
      <c r="C147" s="2" t="s">
        <v>13</v>
      </c>
      <c r="D147" s="3">
        <v>36719</v>
      </c>
      <c r="E147" s="2" t="s">
        <v>640</v>
      </c>
      <c r="F147" s="2" t="s">
        <v>641</v>
      </c>
      <c r="G147" s="2" t="s">
        <v>24</v>
      </c>
      <c r="H147" s="2" t="s">
        <v>17</v>
      </c>
      <c r="I147" s="2" t="s">
        <v>18</v>
      </c>
      <c r="J147" s="2" t="s">
        <v>25</v>
      </c>
      <c r="K147" s="2" t="str">
        <f>_xlfn.XLOOKUP(TRIM(Table1[[#This Row],[Membership]]),Sheet2!$A$2:$A$7,Sheet2!$B$2:$B$7,"Checkmanually")</f>
        <v>Silver</v>
      </c>
      <c r="L147" s="3">
        <v>44552</v>
      </c>
    </row>
    <row r="148" spans="1:12" x14ac:dyDescent="0.25">
      <c r="A148" s="2" t="s">
        <v>642</v>
      </c>
      <c r="B148" s="2" t="s">
        <v>643</v>
      </c>
      <c r="C148" s="2" t="s">
        <v>33</v>
      </c>
      <c r="D148" s="3">
        <v>38847</v>
      </c>
      <c r="E148" s="2" t="s">
        <v>644</v>
      </c>
      <c r="F148" s="2" t="s">
        <v>645</v>
      </c>
      <c r="G148" s="2" t="s">
        <v>63</v>
      </c>
      <c r="H148" s="2" t="s">
        <v>17</v>
      </c>
      <c r="I148" s="2" t="s">
        <v>18</v>
      </c>
      <c r="J148" s="2" t="s">
        <v>25</v>
      </c>
      <c r="K148" s="2" t="str">
        <f>_xlfn.XLOOKUP(TRIM(Table1[[#This Row],[Membership]]),Sheet2!$A$2:$A$7,Sheet2!$B$2:$B$7,"Checkmanually")</f>
        <v>Silver</v>
      </c>
      <c r="L148" s="3">
        <v>43122</v>
      </c>
    </row>
    <row r="149" spans="1:12" x14ac:dyDescent="0.25">
      <c r="A149" s="2" t="s">
        <v>646</v>
      </c>
      <c r="B149" s="2" t="s">
        <v>647</v>
      </c>
      <c r="C149" s="2" t="s">
        <v>33</v>
      </c>
      <c r="D149" s="3">
        <v>39147</v>
      </c>
      <c r="E149" s="2" t="s">
        <v>648</v>
      </c>
      <c r="F149" s="2" t="s">
        <v>649</v>
      </c>
      <c r="G149" s="2" t="s">
        <v>54</v>
      </c>
      <c r="H149" s="2" t="s">
        <v>17</v>
      </c>
      <c r="I149" s="2" t="s">
        <v>18</v>
      </c>
      <c r="J149" s="2" t="s">
        <v>19</v>
      </c>
      <c r="K149" s="2" t="str">
        <f>_xlfn.XLOOKUP(TRIM(Table1[[#This Row],[Membership]]),Sheet2!$A$2:$A$7,Sheet2!$B$2:$B$7,"Checkmanually")</f>
        <v>Bronze</v>
      </c>
      <c r="L149" s="3">
        <v>45417</v>
      </c>
    </row>
    <row r="150" spans="1:12" x14ac:dyDescent="0.25">
      <c r="A150" s="2" t="s">
        <v>650</v>
      </c>
      <c r="B150" s="2" t="s">
        <v>651</v>
      </c>
      <c r="C150" s="2" t="s">
        <v>13</v>
      </c>
      <c r="D150" s="3">
        <v>29413</v>
      </c>
      <c r="E150" s="2" t="s">
        <v>652</v>
      </c>
      <c r="F150" s="2" t="s">
        <v>653</v>
      </c>
      <c r="G150" s="2" t="s">
        <v>115</v>
      </c>
      <c r="H150" s="2" t="s">
        <v>116</v>
      </c>
      <c r="I150" s="2" t="s">
        <v>42</v>
      </c>
      <c r="J150" s="2" t="s">
        <v>25</v>
      </c>
      <c r="K150" s="2" t="str">
        <f>_xlfn.XLOOKUP(TRIM(Table1[[#This Row],[Membership]]),Sheet2!$A$2:$A$7,Sheet2!$B$2:$B$7,"Checkmanually")</f>
        <v>Silver</v>
      </c>
      <c r="L150" s="3">
        <v>45832</v>
      </c>
    </row>
    <row r="151" spans="1:12" x14ac:dyDescent="0.25">
      <c r="A151" s="2" t="s">
        <v>654</v>
      </c>
      <c r="B151" s="2" t="s">
        <v>655</v>
      </c>
      <c r="C151" s="2" t="s">
        <v>13</v>
      </c>
      <c r="D151" s="3">
        <v>32465</v>
      </c>
      <c r="E151" s="2" t="s">
        <v>656</v>
      </c>
      <c r="F151" s="2" t="s">
        <v>657</v>
      </c>
      <c r="G151" s="2" t="s">
        <v>121</v>
      </c>
      <c r="H151" s="2" t="s">
        <v>122</v>
      </c>
      <c r="I151" s="2" t="s">
        <v>18</v>
      </c>
      <c r="J151" s="2" t="s">
        <v>19</v>
      </c>
      <c r="K151" s="2" t="str">
        <f>_xlfn.XLOOKUP(TRIM(Table1[[#This Row],[Membership]]),Sheet2!$A$2:$A$7,Sheet2!$B$2:$B$7,"Checkmanually")</f>
        <v>Bronze</v>
      </c>
      <c r="L151" s="3">
        <v>45229</v>
      </c>
    </row>
    <row r="152" spans="1:12" x14ac:dyDescent="0.25">
      <c r="A152" s="2" t="s">
        <v>658</v>
      </c>
      <c r="B152" s="2" t="s">
        <v>659</v>
      </c>
      <c r="C152" s="2" t="s">
        <v>33</v>
      </c>
      <c r="D152" s="3">
        <v>26399</v>
      </c>
      <c r="E152" s="2" t="s">
        <v>660</v>
      </c>
      <c r="F152" s="2" t="s">
        <v>661</v>
      </c>
      <c r="G152" s="2" t="s">
        <v>24</v>
      </c>
      <c r="H152" s="2" t="s">
        <v>17</v>
      </c>
      <c r="I152" s="2" t="s">
        <v>18</v>
      </c>
      <c r="J152" s="2" t="s">
        <v>25</v>
      </c>
      <c r="K152" s="2" t="str">
        <f>_xlfn.XLOOKUP(TRIM(Table1[[#This Row],[Membership]]),Sheet2!$A$2:$A$7,Sheet2!$B$2:$B$7,"Checkmanually")</f>
        <v>Silver</v>
      </c>
      <c r="L152" s="3">
        <v>44580</v>
      </c>
    </row>
    <row r="153" spans="1:12" x14ac:dyDescent="0.25">
      <c r="A153" s="2" t="s">
        <v>662</v>
      </c>
      <c r="B153" s="2" t="s">
        <v>663</v>
      </c>
      <c r="C153" s="2" t="s">
        <v>13</v>
      </c>
      <c r="D153" s="3">
        <v>22775</v>
      </c>
      <c r="E153" s="2" t="s">
        <v>664</v>
      </c>
      <c r="F153" s="2" t="s">
        <v>665</v>
      </c>
      <c r="G153" s="2" t="s">
        <v>131</v>
      </c>
      <c r="H153" s="2" t="s">
        <v>91</v>
      </c>
      <c r="I153" s="2" t="s">
        <v>18</v>
      </c>
      <c r="J153" s="2" t="s">
        <v>19</v>
      </c>
      <c r="K153" s="2" t="str">
        <f>_xlfn.XLOOKUP(TRIM(Table1[[#This Row],[Membership]]),Sheet2!$A$2:$A$7,Sheet2!$B$2:$B$7,"Checkmanually")</f>
        <v>Bronze</v>
      </c>
      <c r="L153" s="3">
        <v>43478</v>
      </c>
    </row>
    <row r="154" spans="1:12" x14ac:dyDescent="0.25">
      <c r="A154" s="2" t="s">
        <v>666</v>
      </c>
      <c r="B154" s="2" t="s">
        <v>667</v>
      </c>
      <c r="C154" s="2" t="s">
        <v>13</v>
      </c>
      <c r="D154" s="3">
        <v>34709</v>
      </c>
      <c r="E154" s="2" t="s">
        <v>668</v>
      </c>
      <c r="F154" s="2" t="s">
        <v>669</v>
      </c>
      <c r="G154" s="2" t="s">
        <v>228</v>
      </c>
      <c r="H154" s="2" t="s">
        <v>17</v>
      </c>
      <c r="I154" s="2" t="s">
        <v>18</v>
      </c>
      <c r="J154" s="2" t="s">
        <v>25</v>
      </c>
      <c r="K154" s="2" t="str">
        <f>_xlfn.XLOOKUP(TRIM(Table1[[#This Row],[Membership]]),Sheet2!$A$2:$A$7,Sheet2!$B$2:$B$7,"Checkmanually")</f>
        <v>Silver</v>
      </c>
      <c r="L154" s="3">
        <v>43420</v>
      </c>
    </row>
    <row r="155" spans="1:12" x14ac:dyDescent="0.25">
      <c r="A155" s="2" t="s">
        <v>670</v>
      </c>
      <c r="B155" s="2" t="s">
        <v>671</v>
      </c>
      <c r="C155" s="2" t="s">
        <v>13</v>
      </c>
      <c r="D155" s="3">
        <v>37094</v>
      </c>
      <c r="E155" s="2" t="s">
        <v>672</v>
      </c>
      <c r="F155" s="2" t="s">
        <v>673</v>
      </c>
      <c r="G155" s="2" t="s">
        <v>131</v>
      </c>
      <c r="H155" s="2" t="s">
        <v>91</v>
      </c>
      <c r="I155" s="2" t="s">
        <v>18</v>
      </c>
      <c r="J155" s="2" t="s">
        <v>19</v>
      </c>
      <c r="K155" s="2" t="str">
        <f>_xlfn.XLOOKUP(TRIM(Table1[[#This Row],[Membership]]),Sheet2!$A$2:$A$7,Sheet2!$B$2:$B$7,"Checkmanually")</f>
        <v>Bronze</v>
      </c>
      <c r="L155" s="3">
        <v>44718</v>
      </c>
    </row>
    <row r="156" spans="1:12" x14ac:dyDescent="0.25">
      <c r="A156" s="2" t="s">
        <v>674</v>
      </c>
      <c r="B156" s="2" t="s">
        <v>675</v>
      </c>
      <c r="C156" s="2" t="s">
        <v>33</v>
      </c>
      <c r="D156" s="3">
        <v>36131</v>
      </c>
      <c r="E156" s="2" t="s">
        <v>676</v>
      </c>
      <c r="F156" s="2" t="s">
        <v>677</v>
      </c>
      <c r="G156" s="2" t="s">
        <v>131</v>
      </c>
      <c r="H156" s="2" t="s">
        <v>91</v>
      </c>
      <c r="I156" s="2" t="s">
        <v>18</v>
      </c>
      <c r="J156" s="2" t="s">
        <v>19</v>
      </c>
      <c r="K156" s="2" t="str">
        <f>_xlfn.XLOOKUP(TRIM(Table1[[#This Row],[Membership]]),Sheet2!$A$2:$A$7,Sheet2!$B$2:$B$7,"Checkmanually")</f>
        <v>Bronze</v>
      </c>
      <c r="L156" s="3">
        <v>44808</v>
      </c>
    </row>
    <row r="157" spans="1:12" x14ac:dyDescent="0.25">
      <c r="A157" s="2" t="s">
        <v>678</v>
      </c>
      <c r="B157" s="2" t="s">
        <v>679</v>
      </c>
      <c r="C157" s="2" t="s">
        <v>13</v>
      </c>
      <c r="D157" s="3">
        <v>35088</v>
      </c>
      <c r="E157" s="2" t="s">
        <v>680</v>
      </c>
      <c r="F157" s="2" t="s">
        <v>681</v>
      </c>
      <c r="G157" s="2" t="s">
        <v>84</v>
      </c>
      <c r="H157" s="2" t="s">
        <v>85</v>
      </c>
      <c r="I157" s="2" t="s">
        <v>18</v>
      </c>
      <c r="J157" s="2" t="s">
        <v>183</v>
      </c>
      <c r="K157" s="2" t="str">
        <f>_xlfn.XLOOKUP(TRIM(Table1[[#This Row],[Membership]]),Sheet2!$A$2:$A$7,Sheet2!$B$2:$B$7,"Checkmanually")</f>
        <v>Gold</v>
      </c>
      <c r="L157" s="3">
        <v>43630</v>
      </c>
    </row>
    <row r="158" spans="1:12" x14ac:dyDescent="0.25">
      <c r="A158" s="2" t="s">
        <v>682</v>
      </c>
      <c r="B158" s="2" t="s">
        <v>683</v>
      </c>
      <c r="C158" s="2" t="s">
        <v>33</v>
      </c>
      <c r="D158" s="3">
        <v>27057</v>
      </c>
      <c r="E158" s="2" t="s">
        <v>684</v>
      </c>
      <c r="F158" s="2" t="s">
        <v>685</v>
      </c>
      <c r="G158" s="2" t="s">
        <v>84</v>
      </c>
      <c r="H158" s="2" t="s">
        <v>85</v>
      </c>
      <c r="I158" s="2" t="s">
        <v>18</v>
      </c>
      <c r="J158" s="2" t="s">
        <v>183</v>
      </c>
      <c r="K158" s="2" t="str">
        <f>_xlfn.XLOOKUP(TRIM(Table1[[#This Row],[Membership]]),Sheet2!$A$2:$A$7,Sheet2!$B$2:$B$7,"Checkmanually")</f>
        <v>Gold</v>
      </c>
      <c r="L158" s="3">
        <v>44966</v>
      </c>
    </row>
    <row r="159" spans="1:12" x14ac:dyDescent="0.25">
      <c r="A159" s="2" t="s">
        <v>686</v>
      </c>
      <c r="B159" s="2" t="s">
        <v>687</v>
      </c>
      <c r="C159" s="2" t="s">
        <v>13</v>
      </c>
      <c r="D159" s="3">
        <v>32192</v>
      </c>
      <c r="E159" s="2" t="s">
        <v>688</v>
      </c>
      <c r="F159" s="2" t="s">
        <v>689</v>
      </c>
      <c r="G159" s="2" t="s">
        <v>228</v>
      </c>
      <c r="H159" s="2" t="s">
        <v>17</v>
      </c>
      <c r="I159" s="2" t="s">
        <v>18</v>
      </c>
      <c r="J159" s="2" t="s">
        <v>19</v>
      </c>
      <c r="K159" s="2" t="str">
        <f>_xlfn.XLOOKUP(TRIM(Table1[[#This Row],[Membership]]),Sheet2!$A$2:$A$7,Sheet2!$B$2:$B$7,"Checkmanually")</f>
        <v>Bronze</v>
      </c>
      <c r="L159" s="3">
        <v>43587</v>
      </c>
    </row>
    <row r="160" spans="1:12" x14ac:dyDescent="0.25">
      <c r="A160" s="2" t="s">
        <v>690</v>
      </c>
      <c r="B160" s="2" t="s">
        <v>691</v>
      </c>
      <c r="C160" s="2" t="s">
        <v>13</v>
      </c>
      <c r="D160" s="3">
        <v>29579</v>
      </c>
      <c r="E160" s="2" t="s">
        <v>692</v>
      </c>
      <c r="F160" s="2" t="s">
        <v>693</v>
      </c>
      <c r="G160" s="2" t="s">
        <v>387</v>
      </c>
      <c r="H160" s="2" t="s">
        <v>388</v>
      </c>
      <c r="I160" s="2" t="s">
        <v>146</v>
      </c>
      <c r="J160" s="2" t="s">
        <v>25</v>
      </c>
      <c r="K160" s="2" t="str">
        <f>_xlfn.XLOOKUP(TRIM(Table1[[#This Row],[Membership]]),Sheet2!$A$2:$A$7,Sheet2!$B$2:$B$7,"Checkmanually")</f>
        <v>Silver</v>
      </c>
      <c r="L160" s="3">
        <v>43265</v>
      </c>
    </row>
    <row r="161" spans="1:12" x14ac:dyDescent="0.25">
      <c r="A161" s="2" t="s">
        <v>694</v>
      </c>
      <c r="B161" s="2" t="s">
        <v>695</v>
      </c>
      <c r="C161" s="2" t="s">
        <v>33</v>
      </c>
      <c r="D161" s="3">
        <v>32360</v>
      </c>
      <c r="E161" s="2" t="s">
        <v>696</v>
      </c>
      <c r="F161" s="2" t="s">
        <v>697</v>
      </c>
      <c r="G161" s="2" t="s">
        <v>24</v>
      </c>
      <c r="H161" s="2" t="s">
        <v>17</v>
      </c>
      <c r="I161" s="2" t="s">
        <v>18</v>
      </c>
      <c r="J161" s="2" t="s">
        <v>25</v>
      </c>
      <c r="K161" s="2" t="str">
        <f>_xlfn.XLOOKUP(TRIM(Table1[[#This Row],[Membership]]),Sheet2!$A$2:$A$7,Sheet2!$B$2:$B$7,"Checkmanually")</f>
        <v>Silver</v>
      </c>
      <c r="L161" s="3">
        <v>44343</v>
      </c>
    </row>
    <row r="162" spans="1:12" x14ac:dyDescent="0.25">
      <c r="A162" s="2" t="s">
        <v>698</v>
      </c>
      <c r="B162" s="2" t="s">
        <v>699</v>
      </c>
      <c r="C162" s="2" t="s">
        <v>33</v>
      </c>
      <c r="D162" s="3">
        <v>39410</v>
      </c>
      <c r="E162" s="2" t="s">
        <v>700</v>
      </c>
      <c r="F162" s="2" t="s">
        <v>701</v>
      </c>
      <c r="G162" s="2" t="s">
        <v>228</v>
      </c>
      <c r="H162" s="2" t="s">
        <v>17</v>
      </c>
      <c r="I162" s="2" t="s">
        <v>18</v>
      </c>
      <c r="J162" s="2" t="s">
        <v>183</v>
      </c>
      <c r="K162" s="2" t="str">
        <f>_xlfn.XLOOKUP(TRIM(Table1[[#This Row],[Membership]]),Sheet2!$A$2:$A$7,Sheet2!$B$2:$B$7,"Checkmanually")</f>
        <v>Gold</v>
      </c>
      <c r="L162" s="3">
        <v>44828</v>
      </c>
    </row>
    <row r="163" spans="1:12" x14ac:dyDescent="0.25">
      <c r="A163" s="2" t="s">
        <v>702</v>
      </c>
      <c r="B163" s="2" t="s">
        <v>703</v>
      </c>
      <c r="C163" s="2" t="s">
        <v>13</v>
      </c>
      <c r="D163" s="3">
        <v>36106</v>
      </c>
      <c r="E163" s="2" t="s">
        <v>704</v>
      </c>
      <c r="F163" s="2" t="s">
        <v>705</v>
      </c>
      <c r="G163" s="2" t="s">
        <v>540</v>
      </c>
      <c r="H163" s="2" t="s">
        <v>48</v>
      </c>
      <c r="I163" s="2" t="s">
        <v>49</v>
      </c>
      <c r="J163" s="2" t="s">
        <v>25</v>
      </c>
      <c r="K163" s="2" t="str">
        <f>_xlfn.XLOOKUP(TRIM(Table1[[#This Row],[Membership]]),Sheet2!$A$2:$A$7,Sheet2!$B$2:$B$7,"Checkmanually")</f>
        <v>Silver</v>
      </c>
      <c r="L163" s="3">
        <v>43109</v>
      </c>
    </row>
    <row r="164" spans="1:12" x14ac:dyDescent="0.25">
      <c r="A164" s="2" t="s">
        <v>706</v>
      </c>
      <c r="B164" s="2" t="s">
        <v>707</v>
      </c>
      <c r="C164" s="2" t="s">
        <v>33</v>
      </c>
      <c r="D164" s="3">
        <v>33773</v>
      </c>
      <c r="E164" s="2" t="s">
        <v>708</v>
      </c>
      <c r="F164" s="2" t="s">
        <v>709</v>
      </c>
      <c r="G164" s="2" t="s">
        <v>63</v>
      </c>
      <c r="H164" s="2" t="s">
        <v>17</v>
      </c>
      <c r="I164" s="2" t="s">
        <v>18</v>
      </c>
      <c r="J164" s="2" t="s">
        <v>19</v>
      </c>
      <c r="K164" s="2" t="str">
        <f>_xlfn.XLOOKUP(TRIM(Table1[[#This Row],[Membership]]),Sheet2!$A$2:$A$7,Sheet2!$B$2:$B$7,"Checkmanually")</f>
        <v>Bronze</v>
      </c>
      <c r="L164" s="3">
        <v>45071</v>
      </c>
    </row>
    <row r="165" spans="1:12" x14ac:dyDescent="0.25">
      <c r="A165" s="2" t="s">
        <v>710</v>
      </c>
      <c r="B165" s="2" t="s">
        <v>711</v>
      </c>
      <c r="C165" s="2" t="s">
        <v>13</v>
      </c>
      <c r="D165" s="3">
        <v>32453</v>
      </c>
      <c r="E165" s="2" t="s">
        <v>712</v>
      </c>
      <c r="F165" s="2" t="s">
        <v>713</v>
      </c>
      <c r="G165" s="2" t="s">
        <v>90</v>
      </c>
      <c r="H165" s="2" t="s">
        <v>91</v>
      </c>
      <c r="I165" s="2" t="s">
        <v>18</v>
      </c>
      <c r="J165" s="2" t="s">
        <v>19</v>
      </c>
      <c r="K165" s="2" t="str">
        <f>_xlfn.XLOOKUP(TRIM(Table1[[#This Row],[Membership]]),Sheet2!$A$2:$A$7,Sheet2!$B$2:$B$7,"Checkmanually")</f>
        <v>Bronze</v>
      </c>
      <c r="L165" s="3">
        <v>45047</v>
      </c>
    </row>
    <row r="166" spans="1:12" x14ac:dyDescent="0.25">
      <c r="A166" s="2" t="s">
        <v>714</v>
      </c>
      <c r="B166" s="2" t="s">
        <v>715</v>
      </c>
      <c r="C166" s="2" t="s">
        <v>13</v>
      </c>
      <c r="D166" s="3">
        <v>24629</v>
      </c>
      <c r="E166" s="2" t="s">
        <v>716</v>
      </c>
      <c r="F166" s="2" t="s">
        <v>717</v>
      </c>
      <c r="G166" s="2" t="s">
        <v>121</v>
      </c>
      <c r="H166" s="2" t="s">
        <v>122</v>
      </c>
      <c r="I166" s="2" t="s">
        <v>18</v>
      </c>
      <c r="J166" s="2" t="s">
        <v>183</v>
      </c>
      <c r="K166" s="2" t="str">
        <f>_xlfn.XLOOKUP(TRIM(Table1[[#This Row],[Membership]]),Sheet2!$A$2:$A$7,Sheet2!$B$2:$B$7,"Checkmanually")</f>
        <v>Gold</v>
      </c>
      <c r="L166" s="3">
        <v>45168</v>
      </c>
    </row>
    <row r="167" spans="1:12" x14ac:dyDescent="0.25">
      <c r="A167" s="2" t="s">
        <v>718</v>
      </c>
      <c r="B167" s="2" t="s">
        <v>719</v>
      </c>
      <c r="C167" s="2" t="s">
        <v>33</v>
      </c>
      <c r="D167" s="3">
        <v>24971</v>
      </c>
      <c r="E167" s="2" t="s">
        <v>720</v>
      </c>
      <c r="F167" s="2" t="s">
        <v>721</v>
      </c>
      <c r="G167" s="2" t="s">
        <v>90</v>
      </c>
      <c r="H167" s="2" t="s">
        <v>91</v>
      </c>
      <c r="I167" s="2" t="s">
        <v>18</v>
      </c>
      <c r="J167" s="2" t="s">
        <v>19</v>
      </c>
      <c r="K167" s="2" t="str">
        <f>_xlfn.XLOOKUP(TRIM(Table1[[#This Row],[Membership]]),Sheet2!$A$2:$A$7,Sheet2!$B$2:$B$7,"Checkmanually")</f>
        <v>Bronze</v>
      </c>
      <c r="L167" s="3">
        <v>46082</v>
      </c>
    </row>
    <row r="168" spans="1:12" x14ac:dyDescent="0.25">
      <c r="A168" s="2" t="s">
        <v>722</v>
      </c>
      <c r="B168" s="2" t="s">
        <v>723</v>
      </c>
      <c r="C168" s="2" t="s">
        <v>33</v>
      </c>
      <c r="D168" s="3">
        <v>33512</v>
      </c>
      <c r="E168" s="2" t="s">
        <v>724</v>
      </c>
      <c r="F168" s="2" t="s">
        <v>725</v>
      </c>
      <c r="G168" s="2" t="s">
        <v>121</v>
      </c>
      <c r="H168" s="2" t="s">
        <v>122</v>
      </c>
      <c r="I168" s="2" t="s">
        <v>18</v>
      </c>
      <c r="J168" s="2" t="s">
        <v>19</v>
      </c>
      <c r="K168" s="2" t="str">
        <f>_xlfn.XLOOKUP(TRIM(Table1[[#This Row],[Membership]]),Sheet2!$A$2:$A$7,Sheet2!$B$2:$B$7,"Checkmanually")</f>
        <v>Bronze</v>
      </c>
      <c r="L168" s="3">
        <v>44687</v>
      </c>
    </row>
    <row r="169" spans="1:12" x14ac:dyDescent="0.25">
      <c r="A169" s="2" t="s">
        <v>726</v>
      </c>
      <c r="B169" s="2" t="s">
        <v>727</v>
      </c>
      <c r="C169" s="2" t="s">
        <v>33</v>
      </c>
      <c r="D169" s="3">
        <v>34609</v>
      </c>
      <c r="E169" s="2" t="s">
        <v>728</v>
      </c>
      <c r="F169" s="2" t="s">
        <v>729</v>
      </c>
      <c r="G169" s="2" t="s">
        <v>47</v>
      </c>
      <c r="H169" s="2" t="s">
        <v>48</v>
      </c>
      <c r="I169" s="2" t="s">
        <v>49</v>
      </c>
      <c r="J169" s="2" t="s">
        <v>183</v>
      </c>
      <c r="K169" s="2" t="str">
        <f>_xlfn.XLOOKUP(TRIM(Table1[[#This Row],[Membership]]),Sheet2!$A$2:$A$7,Sheet2!$B$2:$B$7,"Checkmanually")</f>
        <v>Gold</v>
      </c>
      <c r="L169" s="3">
        <v>44237</v>
      </c>
    </row>
    <row r="170" spans="1:12" x14ac:dyDescent="0.25">
      <c r="A170" s="2" t="s">
        <v>730</v>
      </c>
      <c r="B170" s="2" t="s">
        <v>731</v>
      </c>
      <c r="C170" s="2" t="s">
        <v>13</v>
      </c>
      <c r="D170" s="3">
        <v>38833</v>
      </c>
      <c r="E170" s="2" t="s">
        <v>732</v>
      </c>
      <c r="F170" s="2" t="s">
        <v>733</v>
      </c>
      <c r="G170" s="2" t="s">
        <v>228</v>
      </c>
      <c r="H170" s="2" t="s">
        <v>17</v>
      </c>
      <c r="I170" s="2" t="s">
        <v>18</v>
      </c>
      <c r="J170" s="2" t="s">
        <v>19</v>
      </c>
      <c r="K170" s="2" t="str">
        <f>_xlfn.XLOOKUP(TRIM(Table1[[#This Row],[Membership]]),Sheet2!$A$2:$A$7,Sheet2!$B$2:$B$7,"Checkmanually")</f>
        <v>Bronze</v>
      </c>
      <c r="L170" s="3">
        <v>45681</v>
      </c>
    </row>
    <row r="171" spans="1:12" x14ac:dyDescent="0.25">
      <c r="A171" s="2" t="s">
        <v>734</v>
      </c>
      <c r="B171" s="2" t="s">
        <v>735</v>
      </c>
      <c r="C171" s="2" t="s">
        <v>13</v>
      </c>
      <c r="D171" s="3">
        <v>24146</v>
      </c>
      <c r="E171" s="2" t="s">
        <v>736</v>
      </c>
      <c r="F171" s="2" t="s">
        <v>737</v>
      </c>
      <c r="G171" s="2" t="s">
        <v>30</v>
      </c>
      <c r="H171" s="2" t="s">
        <v>17</v>
      </c>
      <c r="I171" s="2" t="s">
        <v>18</v>
      </c>
      <c r="J171" s="2" t="s">
        <v>19</v>
      </c>
      <c r="K171" s="2" t="str">
        <f>_xlfn.XLOOKUP(TRIM(Table1[[#This Row],[Membership]]),Sheet2!$A$2:$A$7,Sheet2!$B$2:$B$7,"Checkmanually")</f>
        <v>Bronze</v>
      </c>
      <c r="L171" s="3">
        <v>45738</v>
      </c>
    </row>
    <row r="172" spans="1:12" x14ac:dyDescent="0.25">
      <c r="A172" s="2" t="s">
        <v>738</v>
      </c>
      <c r="B172" s="2" t="s">
        <v>739</v>
      </c>
      <c r="C172" s="2" t="s">
        <v>13</v>
      </c>
      <c r="D172" s="3">
        <v>21822</v>
      </c>
      <c r="E172" s="2" t="s">
        <v>740</v>
      </c>
      <c r="F172" s="2" t="s">
        <v>741</v>
      </c>
      <c r="G172" s="2" t="s">
        <v>121</v>
      </c>
      <c r="H172" s="2" t="s">
        <v>122</v>
      </c>
      <c r="I172" s="2" t="s">
        <v>18</v>
      </c>
      <c r="J172" s="2" t="s">
        <v>25</v>
      </c>
      <c r="K172" s="2" t="str">
        <f>_xlfn.XLOOKUP(TRIM(Table1[[#This Row],[Membership]]),Sheet2!$A$2:$A$7,Sheet2!$B$2:$B$7,"Checkmanually")</f>
        <v>Silver</v>
      </c>
      <c r="L172" s="3">
        <v>45436</v>
      </c>
    </row>
    <row r="173" spans="1:12" x14ac:dyDescent="0.25">
      <c r="A173" s="2" t="s">
        <v>742</v>
      </c>
      <c r="B173" s="2" t="s">
        <v>743</v>
      </c>
      <c r="C173" s="2" t="s">
        <v>13</v>
      </c>
      <c r="D173" s="3">
        <v>20701</v>
      </c>
      <c r="E173" s="2" t="s">
        <v>744</v>
      </c>
      <c r="F173" s="2" t="s">
        <v>745</v>
      </c>
      <c r="G173" s="2" t="s">
        <v>90</v>
      </c>
      <c r="H173" s="2" t="s">
        <v>91</v>
      </c>
      <c r="I173" s="2" t="s">
        <v>18</v>
      </c>
      <c r="J173" s="2" t="s">
        <v>25</v>
      </c>
      <c r="K173" s="2" t="str">
        <f>_xlfn.XLOOKUP(TRIM(Table1[[#This Row],[Membership]]),Sheet2!$A$2:$A$7,Sheet2!$B$2:$B$7,"Checkmanually")</f>
        <v>Silver</v>
      </c>
      <c r="L173" s="3">
        <v>43593</v>
      </c>
    </row>
    <row r="174" spans="1:12" x14ac:dyDescent="0.25">
      <c r="A174" s="2" t="s">
        <v>746</v>
      </c>
      <c r="B174" s="2" t="s">
        <v>747</v>
      </c>
      <c r="C174" s="2" t="s">
        <v>13</v>
      </c>
      <c r="D174" s="3">
        <v>26833</v>
      </c>
      <c r="E174" s="2" t="s">
        <v>748</v>
      </c>
      <c r="F174" s="2" t="s">
        <v>749</v>
      </c>
      <c r="G174" s="2" t="s">
        <v>387</v>
      </c>
      <c r="H174" s="2" t="s">
        <v>388</v>
      </c>
      <c r="I174" s="2" t="s">
        <v>146</v>
      </c>
      <c r="J174" s="2" t="s">
        <v>25</v>
      </c>
      <c r="K174" s="2" t="str">
        <f>_xlfn.XLOOKUP(TRIM(Table1[[#This Row],[Membership]]),Sheet2!$A$2:$A$7,Sheet2!$B$2:$B$7,"Checkmanually")</f>
        <v>Silver</v>
      </c>
      <c r="L174" s="3">
        <v>44105</v>
      </c>
    </row>
    <row r="175" spans="1:12" x14ac:dyDescent="0.25">
      <c r="A175" s="2" t="s">
        <v>750</v>
      </c>
      <c r="B175" s="2" t="s">
        <v>751</v>
      </c>
      <c r="C175" s="2" t="s">
        <v>33</v>
      </c>
      <c r="D175" s="3">
        <v>37573</v>
      </c>
      <c r="E175" s="2" t="s">
        <v>752</v>
      </c>
      <c r="F175" s="2" t="s">
        <v>753</v>
      </c>
      <c r="G175" s="2" t="s">
        <v>121</v>
      </c>
      <c r="H175" s="2" t="s">
        <v>122</v>
      </c>
      <c r="I175" s="2" t="s">
        <v>18</v>
      </c>
      <c r="J175" s="2" t="s">
        <v>25</v>
      </c>
      <c r="K175" s="2" t="str">
        <f>_xlfn.XLOOKUP(TRIM(Table1[[#This Row],[Membership]]),Sheet2!$A$2:$A$7,Sheet2!$B$2:$B$7,"Checkmanually")</f>
        <v>Silver</v>
      </c>
      <c r="L175" s="3">
        <v>45586</v>
      </c>
    </row>
    <row r="176" spans="1:12" x14ac:dyDescent="0.25">
      <c r="A176" s="2" t="s">
        <v>754</v>
      </c>
      <c r="B176" s="2" t="s">
        <v>755</v>
      </c>
      <c r="C176" s="2" t="s">
        <v>33</v>
      </c>
      <c r="D176" s="3">
        <v>20852</v>
      </c>
      <c r="E176" s="2" t="s">
        <v>756</v>
      </c>
      <c r="F176" s="2" t="s">
        <v>757</v>
      </c>
      <c r="G176" s="2" t="s">
        <v>16</v>
      </c>
      <c r="H176" s="2" t="s">
        <v>17</v>
      </c>
      <c r="I176" s="2" t="s">
        <v>18</v>
      </c>
      <c r="J176" s="2" t="s">
        <v>25</v>
      </c>
      <c r="K176" s="2" t="str">
        <f>_xlfn.XLOOKUP(TRIM(Table1[[#This Row],[Membership]]),Sheet2!$A$2:$A$7,Sheet2!$B$2:$B$7,"Checkmanually")</f>
        <v>Silver</v>
      </c>
      <c r="L176" s="3">
        <v>44493</v>
      </c>
    </row>
    <row r="177" spans="1:12" x14ac:dyDescent="0.25">
      <c r="A177" s="2" t="s">
        <v>758</v>
      </c>
      <c r="B177" s="2" t="s">
        <v>759</v>
      </c>
      <c r="C177" s="2" t="s">
        <v>13</v>
      </c>
      <c r="D177" s="3">
        <v>30489</v>
      </c>
      <c r="E177" s="2" t="s">
        <v>760</v>
      </c>
      <c r="F177" s="2" t="s">
        <v>761</v>
      </c>
      <c r="G177" s="2" t="s">
        <v>16</v>
      </c>
      <c r="H177" s="2" t="s">
        <v>17</v>
      </c>
      <c r="I177" s="2" t="s">
        <v>18</v>
      </c>
      <c r="J177" s="2" t="s">
        <v>19</v>
      </c>
      <c r="K177" s="2" t="str">
        <f>_xlfn.XLOOKUP(TRIM(Table1[[#This Row],[Membership]]),Sheet2!$A$2:$A$7,Sheet2!$B$2:$B$7,"Checkmanually")</f>
        <v>Bronze</v>
      </c>
      <c r="L177" s="3">
        <v>44665</v>
      </c>
    </row>
    <row r="178" spans="1:12" x14ac:dyDescent="0.25">
      <c r="A178" s="2" t="s">
        <v>762</v>
      </c>
      <c r="B178" s="2" t="s">
        <v>763</v>
      </c>
      <c r="C178" s="2" t="s">
        <v>33</v>
      </c>
      <c r="D178" s="3">
        <v>29440</v>
      </c>
      <c r="E178" s="2" t="s">
        <v>764</v>
      </c>
      <c r="F178" s="2" t="s">
        <v>765</v>
      </c>
      <c r="G178" s="2" t="s">
        <v>63</v>
      </c>
      <c r="H178" s="2" t="s">
        <v>17</v>
      </c>
      <c r="I178" s="2" t="s">
        <v>18</v>
      </c>
      <c r="J178" s="2" t="s">
        <v>25</v>
      </c>
      <c r="K178" s="2" t="str">
        <f>_xlfn.XLOOKUP(TRIM(Table1[[#This Row],[Membership]]),Sheet2!$A$2:$A$7,Sheet2!$B$2:$B$7,"Checkmanually")</f>
        <v>Silver</v>
      </c>
      <c r="L178" s="3">
        <v>43690</v>
      </c>
    </row>
    <row r="179" spans="1:12" x14ac:dyDescent="0.25">
      <c r="A179" s="2" t="s">
        <v>766</v>
      </c>
      <c r="B179" s="2" t="s">
        <v>767</v>
      </c>
      <c r="C179" s="2" t="s">
        <v>33</v>
      </c>
      <c r="D179" s="3">
        <v>33435</v>
      </c>
      <c r="E179" s="2" t="s">
        <v>768</v>
      </c>
      <c r="F179" s="2" t="s">
        <v>769</v>
      </c>
      <c r="G179" s="2" t="s">
        <v>63</v>
      </c>
      <c r="H179" s="2" t="s">
        <v>17</v>
      </c>
      <c r="I179" s="2" t="s">
        <v>18</v>
      </c>
      <c r="J179" s="2" t="s">
        <v>183</v>
      </c>
      <c r="K179" s="2" t="str">
        <f>_xlfn.XLOOKUP(TRIM(Table1[[#This Row],[Membership]]),Sheet2!$A$2:$A$7,Sheet2!$B$2:$B$7,"Checkmanually")</f>
        <v>Gold</v>
      </c>
      <c r="L179" s="3">
        <v>45880</v>
      </c>
    </row>
    <row r="180" spans="1:12" x14ac:dyDescent="0.25">
      <c r="A180" s="2" t="s">
        <v>770</v>
      </c>
      <c r="B180" s="2" t="s">
        <v>771</v>
      </c>
      <c r="C180" s="2" t="s">
        <v>13</v>
      </c>
      <c r="D180" s="3">
        <v>22006</v>
      </c>
      <c r="E180" s="2" t="s">
        <v>772</v>
      </c>
      <c r="F180" s="2" t="s">
        <v>773</v>
      </c>
      <c r="G180" s="2" t="s">
        <v>24</v>
      </c>
      <c r="H180" s="2" t="s">
        <v>17</v>
      </c>
      <c r="I180" s="2" t="s">
        <v>18</v>
      </c>
      <c r="J180" s="2" t="s">
        <v>183</v>
      </c>
      <c r="K180" s="2" t="str">
        <f>_xlfn.XLOOKUP(TRIM(Table1[[#This Row],[Membership]]),Sheet2!$A$2:$A$7,Sheet2!$B$2:$B$7,"Checkmanually")</f>
        <v>Gold</v>
      </c>
      <c r="L180" s="3">
        <v>44321</v>
      </c>
    </row>
    <row r="181" spans="1:12" x14ac:dyDescent="0.25">
      <c r="A181" s="2" t="s">
        <v>774</v>
      </c>
      <c r="B181" s="2" t="s">
        <v>775</v>
      </c>
      <c r="C181" s="2" t="s">
        <v>13</v>
      </c>
      <c r="D181" s="3">
        <v>30713</v>
      </c>
      <c r="E181" s="2" t="s">
        <v>776</v>
      </c>
      <c r="F181" s="2" t="s">
        <v>777</v>
      </c>
      <c r="G181" s="2" t="s">
        <v>228</v>
      </c>
      <c r="H181" s="2" t="s">
        <v>17</v>
      </c>
      <c r="I181" s="2" t="s">
        <v>18</v>
      </c>
      <c r="J181" s="2" t="s">
        <v>25</v>
      </c>
      <c r="K181" s="2" t="str">
        <f>_xlfn.XLOOKUP(TRIM(Table1[[#This Row],[Membership]]),Sheet2!$A$2:$A$7,Sheet2!$B$2:$B$7,"Checkmanually")</f>
        <v>Silver</v>
      </c>
      <c r="L181" s="3">
        <v>44157</v>
      </c>
    </row>
    <row r="182" spans="1:12" x14ac:dyDescent="0.25">
      <c r="A182" s="2" t="s">
        <v>778</v>
      </c>
      <c r="B182" s="2" t="s">
        <v>779</v>
      </c>
      <c r="C182" s="2" t="s">
        <v>33</v>
      </c>
      <c r="D182" s="3">
        <v>39293</v>
      </c>
      <c r="E182" s="2" t="s">
        <v>780</v>
      </c>
      <c r="F182" s="2" t="s">
        <v>781</v>
      </c>
      <c r="G182" s="2" t="s">
        <v>387</v>
      </c>
      <c r="H182" s="2" t="s">
        <v>388</v>
      </c>
      <c r="I182" s="2" t="s">
        <v>146</v>
      </c>
      <c r="J182" s="2" t="s">
        <v>25</v>
      </c>
      <c r="K182" s="2" t="str">
        <f>_xlfn.XLOOKUP(TRIM(Table1[[#This Row],[Membership]]),Sheet2!$A$2:$A$7,Sheet2!$B$2:$B$7,"Checkmanually")</f>
        <v>Silver</v>
      </c>
      <c r="L182" s="3">
        <v>44069</v>
      </c>
    </row>
    <row r="183" spans="1:12" x14ac:dyDescent="0.25">
      <c r="A183" s="2" t="s">
        <v>782</v>
      </c>
      <c r="B183" s="2" t="s">
        <v>783</v>
      </c>
      <c r="C183" s="2" t="s">
        <v>13</v>
      </c>
      <c r="D183" s="3">
        <v>23860</v>
      </c>
      <c r="E183" s="2" t="s">
        <v>784</v>
      </c>
      <c r="F183" s="2" t="s">
        <v>785</v>
      </c>
      <c r="G183" s="2" t="s">
        <v>84</v>
      </c>
      <c r="H183" s="2" t="s">
        <v>85</v>
      </c>
      <c r="I183" s="2" t="s">
        <v>18</v>
      </c>
      <c r="J183" s="2" t="s">
        <v>25</v>
      </c>
      <c r="K183" s="2" t="str">
        <f>_xlfn.XLOOKUP(TRIM(Table1[[#This Row],[Membership]]),Sheet2!$A$2:$A$7,Sheet2!$B$2:$B$7,"Checkmanually")</f>
        <v>Silver</v>
      </c>
      <c r="L183" s="3">
        <v>44204</v>
      </c>
    </row>
    <row r="184" spans="1:12" x14ac:dyDescent="0.25">
      <c r="A184" s="2" t="s">
        <v>786</v>
      </c>
      <c r="B184" s="2" t="s">
        <v>787</v>
      </c>
      <c r="C184" s="2" t="s">
        <v>13</v>
      </c>
      <c r="D184" s="3">
        <v>35955</v>
      </c>
      <c r="E184" s="2" t="s">
        <v>788</v>
      </c>
      <c r="F184" s="2" t="s">
        <v>789</v>
      </c>
      <c r="G184" s="2" t="s">
        <v>84</v>
      </c>
      <c r="H184" s="2" t="s">
        <v>85</v>
      </c>
      <c r="I184" s="2" t="s">
        <v>18</v>
      </c>
      <c r="J184" s="2" t="s">
        <v>25</v>
      </c>
      <c r="K184" s="2" t="str">
        <f>_xlfn.XLOOKUP(TRIM(Table1[[#This Row],[Membership]]),Sheet2!$A$2:$A$7,Sheet2!$B$2:$B$7,"Checkmanually")</f>
        <v>Silver</v>
      </c>
      <c r="L184" s="3">
        <v>43219</v>
      </c>
    </row>
    <row r="185" spans="1:12" x14ac:dyDescent="0.25">
      <c r="A185" s="2" t="s">
        <v>790</v>
      </c>
      <c r="B185" s="2" t="s">
        <v>791</v>
      </c>
      <c r="C185" s="2" t="s">
        <v>33</v>
      </c>
      <c r="D185" s="3">
        <v>39297</v>
      </c>
      <c r="E185" s="2" t="s">
        <v>792</v>
      </c>
      <c r="F185" s="2" t="s">
        <v>793</v>
      </c>
      <c r="G185" s="2" t="s">
        <v>16</v>
      </c>
      <c r="H185" s="2" t="s">
        <v>17</v>
      </c>
      <c r="I185" s="2" t="s">
        <v>18</v>
      </c>
      <c r="J185" s="2" t="s">
        <v>25</v>
      </c>
      <c r="K185" s="2" t="str">
        <f>_xlfn.XLOOKUP(TRIM(Table1[[#This Row],[Membership]]),Sheet2!$A$2:$A$7,Sheet2!$B$2:$B$7,"Checkmanually")</f>
        <v>Silver</v>
      </c>
      <c r="L185" s="3">
        <v>45866</v>
      </c>
    </row>
    <row r="186" spans="1:12" x14ac:dyDescent="0.25">
      <c r="A186" s="2" t="s">
        <v>794</v>
      </c>
      <c r="B186" s="2" t="s">
        <v>795</v>
      </c>
      <c r="C186" s="2" t="s">
        <v>13</v>
      </c>
      <c r="D186" s="3">
        <v>24204</v>
      </c>
      <c r="E186" s="2" t="s">
        <v>796</v>
      </c>
      <c r="F186" s="2" t="s">
        <v>797</v>
      </c>
      <c r="G186" s="2" t="s">
        <v>84</v>
      </c>
      <c r="H186" s="2" t="s">
        <v>85</v>
      </c>
      <c r="I186" s="2" t="s">
        <v>18</v>
      </c>
      <c r="J186" s="2" t="s">
        <v>19</v>
      </c>
      <c r="K186" s="2" t="str">
        <f>_xlfn.XLOOKUP(TRIM(Table1[[#This Row],[Membership]]),Sheet2!$A$2:$A$7,Sheet2!$B$2:$B$7,"Checkmanually")</f>
        <v>Bronze</v>
      </c>
      <c r="L186" s="3">
        <v>44348</v>
      </c>
    </row>
    <row r="187" spans="1:12" x14ac:dyDescent="0.25">
      <c r="A187" s="2" t="s">
        <v>798</v>
      </c>
      <c r="B187" s="2" t="s">
        <v>799</v>
      </c>
      <c r="C187" s="2" t="s">
        <v>13</v>
      </c>
      <c r="D187" s="3">
        <v>36488</v>
      </c>
      <c r="E187" s="2" t="s">
        <v>800</v>
      </c>
      <c r="F187" s="2" t="s">
        <v>801</v>
      </c>
      <c r="G187" s="2" t="s">
        <v>63</v>
      </c>
      <c r="H187" s="2" t="s">
        <v>17</v>
      </c>
      <c r="I187" s="2" t="s">
        <v>18</v>
      </c>
      <c r="J187" s="2" t="s">
        <v>19</v>
      </c>
      <c r="K187" s="2" t="str">
        <f>_xlfn.XLOOKUP(TRIM(Table1[[#This Row],[Membership]]),Sheet2!$A$2:$A$7,Sheet2!$B$2:$B$7,"Checkmanually")</f>
        <v>Bronze</v>
      </c>
      <c r="L187" s="3">
        <v>43934</v>
      </c>
    </row>
    <row r="188" spans="1:12" x14ac:dyDescent="0.25">
      <c r="A188" s="2" t="s">
        <v>802</v>
      </c>
      <c r="B188" s="2" t="s">
        <v>803</v>
      </c>
      <c r="C188" s="2" t="s">
        <v>33</v>
      </c>
      <c r="D188" s="3">
        <v>28123</v>
      </c>
      <c r="E188" s="2" t="s">
        <v>804</v>
      </c>
      <c r="F188" s="2" t="s">
        <v>805</v>
      </c>
      <c r="G188" s="2" t="s">
        <v>47</v>
      </c>
      <c r="H188" s="2" t="s">
        <v>48</v>
      </c>
      <c r="I188" s="2" t="s">
        <v>49</v>
      </c>
      <c r="J188" s="2" t="s">
        <v>19</v>
      </c>
      <c r="K188" s="2" t="str">
        <f>_xlfn.XLOOKUP(TRIM(Table1[[#This Row],[Membership]]),Sheet2!$A$2:$A$7,Sheet2!$B$2:$B$7,"Checkmanually")</f>
        <v>Bronze</v>
      </c>
      <c r="L188" s="3">
        <v>45302</v>
      </c>
    </row>
    <row r="189" spans="1:12" x14ac:dyDescent="0.25">
      <c r="A189" s="2" t="s">
        <v>806</v>
      </c>
      <c r="B189" s="2" t="s">
        <v>807</v>
      </c>
      <c r="C189" s="2" t="s">
        <v>33</v>
      </c>
      <c r="D189" s="3">
        <v>35315</v>
      </c>
      <c r="E189" s="2" t="s">
        <v>808</v>
      </c>
      <c r="F189" s="2" t="s">
        <v>809</v>
      </c>
      <c r="G189" s="2" t="s">
        <v>40</v>
      </c>
      <c r="H189" s="2" t="s">
        <v>41</v>
      </c>
      <c r="I189" s="2" t="s">
        <v>42</v>
      </c>
      <c r="J189" s="2" t="s">
        <v>183</v>
      </c>
      <c r="K189" s="2" t="str">
        <f>_xlfn.XLOOKUP(TRIM(Table1[[#This Row],[Membership]]),Sheet2!$A$2:$A$7,Sheet2!$B$2:$B$7,"Checkmanually")</f>
        <v>Gold</v>
      </c>
      <c r="L189" s="3">
        <v>45643</v>
      </c>
    </row>
    <row r="190" spans="1:12" x14ac:dyDescent="0.25">
      <c r="A190" s="2" t="s">
        <v>810</v>
      </c>
      <c r="B190" s="2" t="s">
        <v>2869</v>
      </c>
      <c r="C190" s="2" t="s">
        <v>13</v>
      </c>
      <c r="D190" s="3">
        <v>35890</v>
      </c>
      <c r="E190" s="2" t="s">
        <v>811</v>
      </c>
      <c r="F190" s="2" t="s">
        <v>812</v>
      </c>
      <c r="G190" s="2" t="s">
        <v>228</v>
      </c>
      <c r="H190" s="2" t="s">
        <v>17</v>
      </c>
      <c r="I190" s="2" t="s">
        <v>18</v>
      </c>
      <c r="J190" s="2" t="s">
        <v>183</v>
      </c>
      <c r="K190" s="2" t="str">
        <f>_xlfn.XLOOKUP(TRIM(Table1[[#This Row],[Membership]]),Sheet2!$A$2:$A$7,Sheet2!$B$2:$B$7,"Checkmanually")</f>
        <v>Gold</v>
      </c>
      <c r="L190" s="3">
        <v>44220</v>
      </c>
    </row>
    <row r="191" spans="1:12" x14ac:dyDescent="0.25">
      <c r="A191" s="2" t="s">
        <v>813</v>
      </c>
      <c r="B191" s="2" t="s">
        <v>814</v>
      </c>
      <c r="C191" s="2" t="s">
        <v>13</v>
      </c>
      <c r="D191" s="3">
        <v>27061</v>
      </c>
      <c r="E191" s="2" t="s">
        <v>815</v>
      </c>
      <c r="F191" s="2" t="s">
        <v>816</v>
      </c>
      <c r="G191" s="2" t="s">
        <v>131</v>
      </c>
      <c r="H191" s="2" t="s">
        <v>91</v>
      </c>
      <c r="I191" s="2" t="s">
        <v>18</v>
      </c>
      <c r="J191" s="2" t="s">
        <v>19</v>
      </c>
      <c r="K191" s="2" t="str">
        <f>_xlfn.XLOOKUP(TRIM(Table1[[#This Row],[Membership]]),Sheet2!$A$2:$A$7,Sheet2!$B$2:$B$7,"Checkmanually")</f>
        <v>Bronze</v>
      </c>
      <c r="L191" s="3">
        <v>45497</v>
      </c>
    </row>
    <row r="192" spans="1:12" x14ac:dyDescent="0.25">
      <c r="A192" s="2" t="s">
        <v>817</v>
      </c>
      <c r="B192" s="2" t="s">
        <v>818</v>
      </c>
      <c r="C192" s="2" t="s">
        <v>33</v>
      </c>
      <c r="D192" s="3">
        <v>38541</v>
      </c>
      <c r="E192" s="2" t="s">
        <v>819</v>
      </c>
      <c r="F192" s="2" t="s">
        <v>820</v>
      </c>
      <c r="G192" s="2" t="s">
        <v>228</v>
      </c>
      <c r="H192" s="2" t="s">
        <v>17</v>
      </c>
      <c r="I192" s="2" t="s">
        <v>18</v>
      </c>
      <c r="J192" s="2" t="s">
        <v>19</v>
      </c>
      <c r="K192" s="2" t="str">
        <f>_xlfn.XLOOKUP(TRIM(Table1[[#This Row],[Membership]]),Sheet2!$A$2:$A$7,Sheet2!$B$2:$B$7,"Checkmanually")</f>
        <v>Bronze</v>
      </c>
      <c r="L192" s="3">
        <v>43387</v>
      </c>
    </row>
    <row r="193" spans="1:12" x14ac:dyDescent="0.25">
      <c r="A193" s="2" t="s">
        <v>821</v>
      </c>
      <c r="B193" s="2" t="s">
        <v>822</v>
      </c>
      <c r="C193" s="2" t="s">
        <v>13</v>
      </c>
      <c r="D193" s="3">
        <v>38324</v>
      </c>
      <c r="E193" s="2" t="s">
        <v>823</v>
      </c>
      <c r="F193" s="2" t="s">
        <v>824</v>
      </c>
      <c r="G193" s="2" t="s">
        <v>63</v>
      </c>
      <c r="H193" s="2" t="s">
        <v>17</v>
      </c>
      <c r="I193" s="2" t="s">
        <v>18</v>
      </c>
      <c r="J193" s="2" t="s">
        <v>19</v>
      </c>
      <c r="K193" s="2" t="str">
        <f>_xlfn.XLOOKUP(TRIM(Table1[[#This Row],[Membership]]),Sheet2!$A$2:$A$7,Sheet2!$B$2:$B$7,"Checkmanually")</f>
        <v>Bronze</v>
      </c>
      <c r="L193" s="3">
        <v>44245</v>
      </c>
    </row>
    <row r="194" spans="1:12" x14ac:dyDescent="0.25">
      <c r="A194" s="2" t="s">
        <v>825</v>
      </c>
      <c r="B194" s="2" t="s">
        <v>826</v>
      </c>
      <c r="C194" s="2" t="s">
        <v>33</v>
      </c>
      <c r="D194" s="3">
        <v>30520</v>
      </c>
      <c r="E194" s="2" t="s">
        <v>827</v>
      </c>
      <c r="F194" s="2" t="s">
        <v>828</v>
      </c>
      <c r="G194" s="2" t="s">
        <v>84</v>
      </c>
      <c r="H194" s="2" t="s">
        <v>85</v>
      </c>
      <c r="I194" s="2" t="s">
        <v>18</v>
      </c>
      <c r="J194" s="2" t="s">
        <v>19</v>
      </c>
      <c r="K194" s="2" t="str">
        <f>_xlfn.XLOOKUP(TRIM(Table1[[#This Row],[Membership]]),Sheet2!$A$2:$A$7,Sheet2!$B$2:$B$7,"Checkmanually")</f>
        <v>Bronze</v>
      </c>
      <c r="L194" s="3">
        <v>45894</v>
      </c>
    </row>
    <row r="195" spans="1:12" x14ac:dyDescent="0.25">
      <c r="A195" s="2" t="s">
        <v>829</v>
      </c>
      <c r="B195" s="2" t="s">
        <v>830</v>
      </c>
      <c r="C195" s="2" t="s">
        <v>13</v>
      </c>
      <c r="D195" s="3">
        <v>30629</v>
      </c>
      <c r="E195" s="2" t="s">
        <v>831</v>
      </c>
      <c r="F195" s="2" t="s">
        <v>832</v>
      </c>
      <c r="G195" s="2" t="s">
        <v>90</v>
      </c>
      <c r="H195" s="2" t="s">
        <v>91</v>
      </c>
      <c r="I195" s="2" t="s">
        <v>18</v>
      </c>
      <c r="J195" s="2" t="s">
        <v>25</v>
      </c>
      <c r="K195" s="2" t="str">
        <f>_xlfn.XLOOKUP(TRIM(Table1[[#This Row],[Membership]]),Sheet2!$A$2:$A$7,Sheet2!$B$2:$B$7,"Checkmanually")</f>
        <v>Silver</v>
      </c>
      <c r="L195" s="3">
        <v>44500</v>
      </c>
    </row>
    <row r="196" spans="1:12" x14ac:dyDescent="0.25">
      <c r="A196" s="2" t="s">
        <v>833</v>
      </c>
      <c r="B196" s="2" t="s">
        <v>834</v>
      </c>
      <c r="C196" s="2" t="s">
        <v>33</v>
      </c>
      <c r="D196" s="3">
        <v>24471</v>
      </c>
      <c r="E196" s="2" t="s">
        <v>835</v>
      </c>
      <c r="F196" s="2" t="s">
        <v>836</v>
      </c>
      <c r="G196" s="2" t="s">
        <v>121</v>
      </c>
      <c r="H196" s="2" t="s">
        <v>122</v>
      </c>
      <c r="I196" s="2" t="s">
        <v>18</v>
      </c>
      <c r="J196" s="2" t="s">
        <v>25</v>
      </c>
      <c r="K196" s="2" t="str">
        <f>_xlfn.XLOOKUP(TRIM(Table1[[#This Row],[Membership]]),Sheet2!$A$2:$A$7,Sheet2!$B$2:$B$7,"Checkmanually")</f>
        <v>Silver</v>
      </c>
      <c r="L196" s="3">
        <v>45748</v>
      </c>
    </row>
    <row r="197" spans="1:12" x14ac:dyDescent="0.25">
      <c r="A197" s="2" t="s">
        <v>837</v>
      </c>
      <c r="B197" s="2" t="s">
        <v>838</v>
      </c>
      <c r="C197" s="2" t="s">
        <v>33</v>
      </c>
      <c r="D197" s="3">
        <v>25776</v>
      </c>
      <c r="E197" s="2" t="s">
        <v>839</v>
      </c>
      <c r="F197" s="2" t="s">
        <v>840</v>
      </c>
      <c r="G197" s="2" t="s">
        <v>16</v>
      </c>
      <c r="H197" s="2" t="s">
        <v>17</v>
      </c>
      <c r="I197" s="2" t="s">
        <v>18</v>
      </c>
      <c r="J197" s="2" t="s">
        <v>19</v>
      </c>
      <c r="K197" s="2" t="str">
        <f>_xlfn.XLOOKUP(TRIM(Table1[[#This Row],[Membership]]),Sheet2!$A$2:$A$7,Sheet2!$B$2:$B$7,"Checkmanually")</f>
        <v>Bronze</v>
      </c>
      <c r="L197" s="3">
        <v>44793</v>
      </c>
    </row>
    <row r="198" spans="1:12" x14ac:dyDescent="0.25">
      <c r="A198" s="2" t="s">
        <v>841</v>
      </c>
      <c r="B198" s="2" t="s">
        <v>842</v>
      </c>
      <c r="C198" s="2" t="s">
        <v>13</v>
      </c>
      <c r="D198" s="3">
        <v>37723</v>
      </c>
      <c r="E198" s="2" t="s">
        <v>843</v>
      </c>
      <c r="F198" s="2" t="s">
        <v>844</v>
      </c>
      <c r="G198" s="2" t="s">
        <v>40</v>
      </c>
      <c r="H198" s="2" t="s">
        <v>41</v>
      </c>
      <c r="I198" s="2" t="s">
        <v>42</v>
      </c>
      <c r="J198" s="2" t="s">
        <v>19</v>
      </c>
      <c r="K198" s="2" t="str">
        <f>_xlfn.XLOOKUP(TRIM(Table1[[#This Row],[Membership]]),Sheet2!$A$2:$A$7,Sheet2!$B$2:$B$7,"Checkmanually")</f>
        <v>Bronze</v>
      </c>
      <c r="L198" s="3">
        <v>43433</v>
      </c>
    </row>
    <row r="199" spans="1:12" x14ac:dyDescent="0.25">
      <c r="A199" s="2" t="s">
        <v>845</v>
      </c>
      <c r="B199" s="2" t="s">
        <v>846</v>
      </c>
      <c r="C199" s="2" t="s">
        <v>13</v>
      </c>
      <c r="D199" s="3">
        <v>34677</v>
      </c>
      <c r="E199" s="2" t="s">
        <v>847</v>
      </c>
      <c r="F199" s="2" t="s">
        <v>848</v>
      </c>
      <c r="G199" s="2" t="s">
        <v>104</v>
      </c>
      <c r="H199" s="2" t="s">
        <v>105</v>
      </c>
      <c r="I199" s="2" t="s">
        <v>42</v>
      </c>
      <c r="J199" s="2" t="s">
        <v>25</v>
      </c>
      <c r="K199" s="2" t="str">
        <f>_xlfn.XLOOKUP(TRIM(Table1[[#This Row],[Membership]]),Sheet2!$A$2:$A$7,Sheet2!$B$2:$B$7,"Checkmanually")</f>
        <v>Silver</v>
      </c>
      <c r="L199" s="3">
        <v>45854</v>
      </c>
    </row>
    <row r="200" spans="1:12" x14ac:dyDescent="0.25">
      <c r="A200" s="2" t="s">
        <v>849</v>
      </c>
      <c r="B200" s="2" t="s">
        <v>850</v>
      </c>
      <c r="C200" s="2" t="s">
        <v>33</v>
      </c>
      <c r="D200" s="3">
        <v>31819</v>
      </c>
      <c r="E200" s="2" t="s">
        <v>851</v>
      </c>
      <c r="F200" s="2" t="s">
        <v>852</v>
      </c>
      <c r="G200" s="2" t="s">
        <v>131</v>
      </c>
      <c r="H200" s="2" t="s">
        <v>91</v>
      </c>
      <c r="I200" s="2" t="s">
        <v>18</v>
      </c>
      <c r="J200" s="2" t="s">
        <v>19</v>
      </c>
      <c r="K200" s="2" t="str">
        <f>_xlfn.XLOOKUP(TRIM(Table1[[#This Row],[Membership]]),Sheet2!$A$2:$A$7,Sheet2!$B$2:$B$7,"Checkmanually")</f>
        <v>Bronze</v>
      </c>
      <c r="L200" s="3">
        <v>44685</v>
      </c>
    </row>
    <row r="201" spans="1:12" x14ac:dyDescent="0.25">
      <c r="A201" s="2" t="s">
        <v>853</v>
      </c>
      <c r="B201" s="2" t="s">
        <v>854</v>
      </c>
      <c r="C201" s="2" t="s">
        <v>33</v>
      </c>
      <c r="D201" s="3">
        <v>32229</v>
      </c>
      <c r="E201" s="2" t="s">
        <v>855</v>
      </c>
      <c r="F201" s="2" t="s">
        <v>856</v>
      </c>
      <c r="G201" s="2" t="s">
        <v>16</v>
      </c>
      <c r="H201" s="2" t="s">
        <v>17</v>
      </c>
      <c r="I201" s="2" t="s">
        <v>18</v>
      </c>
      <c r="J201" s="2" t="s">
        <v>183</v>
      </c>
      <c r="K201" s="2" t="str">
        <f>_xlfn.XLOOKUP(TRIM(Table1[[#This Row],[Membership]]),Sheet2!$A$2:$A$7,Sheet2!$B$2:$B$7,"Checkmanually")</f>
        <v>Gold</v>
      </c>
      <c r="L201" s="3">
        <v>43891</v>
      </c>
    </row>
    <row r="202" spans="1:12" x14ac:dyDescent="0.25">
      <c r="A202" s="2" t="s">
        <v>857</v>
      </c>
      <c r="B202" s="2" t="s">
        <v>858</v>
      </c>
      <c r="C202" s="2" t="s">
        <v>13</v>
      </c>
      <c r="D202" s="3">
        <v>31815</v>
      </c>
      <c r="E202" s="2" t="s">
        <v>859</v>
      </c>
      <c r="F202" s="2" t="s">
        <v>860</v>
      </c>
      <c r="G202" s="2" t="s">
        <v>16</v>
      </c>
      <c r="H202" s="2" t="s">
        <v>17</v>
      </c>
      <c r="I202" s="2" t="s">
        <v>18</v>
      </c>
      <c r="J202" s="2" t="s">
        <v>19</v>
      </c>
      <c r="K202" s="2" t="str">
        <f>_xlfn.XLOOKUP(TRIM(Table1[[#This Row],[Membership]]),Sheet2!$A$2:$A$7,Sheet2!$B$2:$B$7,"Checkmanually")</f>
        <v>Bronze</v>
      </c>
      <c r="L202" s="3">
        <v>43885</v>
      </c>
    </row>
    <row r="203" spans="1:12" x14ac:dyDescent="0.25">
      <c r="A203" s="2" t="s">
        <v>861</v>
      </c>
      <c r="B203" s="2" t="s">
        <v>862</v>
      </c>
      <c r="C203" s="2" t="s">
        <v>33</v>
      </c>
      <c r="D203" s="3">
        <v>27336</v>
      </c>
      <c r="E203" s="2" t="s">
        <v>863</v>
      </c>
      <c r="F203" s="2" t="s">
        <v>864</v>
      </c>
      <c r="G203" s="2" t="s">
        <v>30</v>
      </c>
      <c r="H203" s="2" t="s">
        <v>17</v>
      </c>
      <c r="I203" s="2" t="s">
        <v>18</v>
      </c>
      <c r="J203" s="2" t="s">
        <v>19</v>
      </c>
      <c r="K203" s="2" t="str">
        <f>_xlfn.XLOOKUP(TRIM(Table1[[#This Row],[Membership]]),Sheet2!$A$2:$A$7,Sheet2!$B$2:$B$7,"Checkmanually")</f>
        <v>Bronze</v>
      </c>
      <c r="L203" s="3">
        <v>44060</v>
      </c>
    </row>
    <row r="204" spans="1:12" x14ac:dyDescent="0.25">
      <c r="A204" s="2" t="s">
        <v>865</v>
      </c>
      <c r="B204" s="2" t="s">
        <v>866</v>
      </c>
      <c r="C204" s="2" t="s">
        <v>33</v>
      </c>
      <c r="D204" s="3">
        <v>26941</v>
      </c>
      <c r="E204" s="2" t="s">
        <v>867</v>
      </c>
      <c r="F204" s="2" t="s">
        <v>868</v>
      </c>
      <c r="G204" s="2" t="s">
        <v>144</v>
      </c>
      <c r="H204" s="2" t="s">
        <v>145</v>
      </c>
      <c r="I204" s="2" t="s">
        <v>146</v>
      </c>
      <c r="J204" s="2" t="s">
        <v>25</v>
      </c>
      <c r="K204" s="2" t="str">
        <f>_xlfn.XLOOKUP(TRIM(Table1[[#This Row],[Membership]]),Sheet2!$A$2:$A$7,Sheet2!$B$2:$B$7,"Checkmanually")</f>
        <v>Silver</v>
      </c>
      <c r="L204" s="3">
        <v>43130</v>
      </c>
    </row>
    <row r="205" spans="1:12" x14ac:dyDescent="0.25">
      <c r="A205" s="2" t="s">
        <v>869</v>
      </c>
      <c r="B205" s="2" t="s">
        <v>870</v>
      </c>
      <c r="C205" s="2" t="s">
        <v>13</v>
      </c>
      <c r="D205" s="3">
        <v>29178</v>
      </c>
      <c r="E205" s="2" t="s">
        <v>871</v>
      </c>
      <c r="F205" s="2" t="s">
        <v>872</v>
      </c>
      <c r="G205" s="2" t="s">
        <v>40</v>
      </c>
      <c r="H205" s="2" t="s">
        <v>41</v>
      </c>
      <c r="I205" s="2" t="s">
        <v>42</v>
      </c>
      <c r="J205" s="2" t="s">
        <v>183</v>
      </c>
      <c r="K205" s="2" t="str">
        <f>_xlfn.XLOOKUP(TRIM(Table1[[#This Row],[Membership]]),Sheet2!$A$2:$A$7,Sheet2!$B$2:$B$7,"Checkmanually")</f>
        <v>Gold</v>
      </c>
      <c r="L205" s="3">
        <v>45432</v>
      </c>
    </row>
    <row r="206" spans="1:12" x14ac:dyDescent="0.25">
      <c r="A206" s="2" t="s">
        <v>873</v>
      </c>
      <c r="B206" s="2" t="s">
        <v>874</v>
      </c>
      <c r="C206" s="2" t="s">
        <v>13</v>
      </c>
      <c r="D206" s="3">
        <v>38627</v>
      </c>
      <c r="E206" s="2" t="s">
        <v>875</v>
      </c>
      <c r="F206" s="2" t="s">
        <v>876</v>
      </c>
      <c r="G206" s="2" t="s">
        <v>84</v>
      </c>
      <c r="H206" s="2" t="s">
        <v>85</v>
      </c>
      <c r="I206" s="2" t="s">
        <v>18</v>
      </c>
      <c r="J206" s="2" t="s">
        <v>183</v>
      </c>
      <c r="K206" s="2" t="str">
        <f>_xlfn.XLOOKUP(TRIM(Table1[[#This Row],[Membership]]),Sheet2!$A$2:$A$7,Sheet2!$B$2:$B$7,"Checkmanually")</f>
        <v>Gold</v>
      </c>
      <c r="L206" s="3">
        <v>45854</v>
      </c>
    </row>
    <row r="207" spans="1:12" x14ac:dyDescent="0.25">
      <c r="A207" s="2" t="s">
        <v>877</v>
      </c>
      <c r="B207" s="2" t="s">
        <v>878</v>
      </c>
      <c r="C207" s="2" t="s">
        <v>13</v>
      </c>
      <c r="D207" s="3">
        <v>24292</v>
      </c>
      <c r="E207" s="2" t="s">
        <v>879</v>
      </c>
      <c r="F207" s="2" t="s">
        <v>880</v>
      </c>
      <c r="G207" s="2" t="s">
        <v>228</v>
      </c>
      <c r="H207" s="2" t="s">
        <v>17</v>
      </c>
      <c r="I207" s="2" t="s">
        <v>18</v>
      </c>
      <c r="J207" s="2" t="s">
        <v>183</v>
      </c>
      <c r="K207" s="2" t="str">
        <f>_xlfn.XLOOKUP(TRIM(Table1[[#This Row],[Membership]]),Sheet2!$A$2:$A$7,Sheet2!$B$2:$B$7,"Checkmanually")</f>
        <v>Gold</v>
      </c>
      <c r="L207" s="3">
        <v>43367</v>
      </c>
    </row>
    <row r="208" spans="1:12" x14ac:dyDescent="0.25">
      <c r="A208" s="2" t="s">
        <v>881</v>
      </c>
      <c r="B208" s="2" t="s">
        <v>882</v>
      </c>
      <c r="C208" s="2" t="s">
        <v>13</v>
      </c>
      <c r="D208" s="3">
        <v>37230</v>
      </c>
      <c r="E208" s="2" t="s">
        <v>883</v>
      </c>
      <c r="F208" s="2" t="s">
        <v>884</v>
      </c>
      <c r="G208" s="2" t="s">
        <v>121</v>
      </c>
      <c r="H208" s="2" t="s">
        <v>122</v>
      </c>
      <c r="I208" s="2" t="s">
        <v>18</v>
      </c>
      <c r="J208" s="2" t="s">
        <v>19</v>
      </c>
      <c r="K208" s="2" t="str">
        <f>_xlfn.XLOOKUP(TRIM(Table1[[#This Row],[Membership]]),Sheet2!$A$2:$A$7,Sheet2!$B$2:$B$7,"Checkmanually")</f>
        <v>Bronze</v>
      </c>
      <c r="L208" s="3">
        <v>44224</v>
      </c>
    </row>
    <row r="209" spans="1:12" x14ac:dyDescent="0.25">
      <c r="A209" s="2" t="s">
        <v>885</v>
      </c>
      <c r="B209" s="2" t="s">
        <v>886</v>
      </c>
      <c r="C209" s="2" t="s">
        <v>33</v>
      </c>
      <c r="D209" s="3">
        <v>37553</v>
      </c>
      <c r="E209" s="2" t="s">
        <v>887</v>
      </c>
      <c r="F209" s="2" t="s">
        <v>888</v>
      </c>
      <c r="G209" s="2" t="s">
        <v>16</v>
      </c>
      <c r="H209" s="2" t="s">
        <v>17</v>
      </c>
      <c r="I209" s="2" t="s">
        <v>18</v>
      </c>
      <c r="J209" s="2" t="s">
        <v>19</v>
      </c>
      <c r="K209" s="2" t="str">
        <f>_xlfn.XLOOKUP(TRIM(Table1[[#This Row],[Membership]]),Sheet2!$A$2:$A$7,Sheet2!$B$2:$B$7,"Checkmanually")</f>
        <v>Bronze</v>
      </c>
      <c r="L209" s="3">
        <v>45617</v>
      </c>
    </row>
    <row r="210" spans="1:12" x14ac:dyDescent="0.25">
      <c r="A210" s="2" t="s">
        <v>889</v>
      </c>
      <c r="B210" s="2" t="s">
        <v>890</v>
      </c>
      <c r="C210" s="2" t="s">
        <v>33</v>
      </c>
      <c r="D210" s="3">
        <v>34085</v>
      </c>
      <c r="E210" s="2" t="s">
        <v>891</v>
      </c>
      <c r="F210" s="2" t="s">
        <v>892</v>
      </c>
      <c r="G210" s="2" t="s">
        <v>90</v>
      </c>
      <c r="H210" s="2" t="s">
        <v>91</v>
      </c>
      <c r="I210" s="2" t="s">
        <v>18</v>
      </c>
      <c r="J210" s="2" t="s">
        <v>183</v>
      </c>
      <c r="K210" s="2" t="str">
        <f>_xlfn.XLOOKUP(TRIM(Table1[[#This Row],[Membership]]),Sheet2!$A$2:$A$7,Sheet2!$B$2:$B$7,"Checkmanually")</f>
        <v>Gold</v>
      </c>
      <c r="L210" s="3">
        <v>45726</v>
      </c>
    </row>
    <row r="211" spans="1:12" x14ac:dyDescent="0.25">
      <c r="A211" s="2" t="s">
        <v>893</v>
      </c>
      <c r="B211" s="2" t="s">
        <v>894</v>
      </c>
      <c r="C211" s="2" t="s">
        <v>33</v>
      </c>
      <c r="D211" s="3">
        <v>33422</v>
      </c>
      <c r="E211" s="2" t="s">
        <v>895</v>
      </c>
      <c r="F211" s="2" t="s">
        <v>896</v>
      </c>
      <c r="G211" s="2" t="s">
        <v>144</v>
      </c>
      <c r="H211" s="2" t="s">
        <v>145</v>
      </c>
      <c r="I211" s="2" t="s">
        <v>146</v>
      </c>
      <c r="J211" s="2" t="s">
        <v>25</v>
      </c>
      <c r="K211" s="2" t="str">
        <f>_xlfn.XLOOKUP(TRIM(Table1[[#This Row],[Membership]]),Sheet2!$A$2:$A$7,Sheet2!$B$2:$B$7,"Checkmanually")</f>
        <v>Silver</v>
      </c>
      <c r="L211" s="3">
        <v>44223</v>
      </c>
    </row>
    <row r="212" spans="1:12" x14ac:dyDescent="0.25">
      <c r="A212" s="2" t="s">
        <v>897</v>
      </c>
      <c r="B212" s="2" t="s">
        <v>898</v>
      </c>
      <c r="C212" s="2" t="s">
        <v>13</v>
      </c>
      <c r="D212" s="3">
        <v>37039</v>
      </c>
      <c r="E212" s="2" t="s">
        <v>899</v>
      </c>
      <c r="F212" s="2" t="s">
        <v>900</v>
      </c>
      <c r="G212" s="2" t="s">
        <v>90</v>
      </c>
      <c r="H212" s="2" t="s">
        <v>91</v>
      </c>
      <c r="I212" s="2" t="s">
        <v>18</v>
      </c>
      <c r="J212" s="2" t="s">
        <v>25</v>
      </c>
      <c r="K212" s="2" t="str">
        <f>_xlfn.XLOOKUP(TRIM(Table1[[#This Row],[Membership]]),Sheet2!$A$2:$A$7,Sheet2!$B$2:$B$7,"Checkmanually")</f>
        <v>Silver</v>
      </c>
      <c r="L212" s="3">
        <v>43279</v>
      </c>
    </row>
    <row r="213" spans="1:12" x14ac:dyDescent="0.25">
      <c r="A213" s="2" t="s">
        <v>901</v>
      </c>
      <c r="B213" s="2" t="s">
        <v>902</v>
      </c>
      <c r="C213" s="2" t="s">
        <v>33</v>
      </c>
      <c r="D213" s="3">
        <v>37536</v>
      </c>
      <c r="E213" s="2" t="s">
        <v>903</v>
      </c>
      <c r="F213" s="2" t="s">
        <v>904</v>
      </c>
      <c r="G213" s="2" t="s">
        <v>30</v>
      </c>
      <c r="H213" s="2" t="s">
        <v>17</v>
      </c>
      <c r="I213" s="2" t="s">
        <v>18</v>
      </c>
      <c r="J213" s="2" t="s">
        <v>19</v>
      </c>
      <c r="K213" s="2" t="str">
        <f>_xlfn.XLOOKUP(TRIM(Table1[[#This Row],[Membership]]),Sheet2!$A$2:$A$7,Sheet2!$B$2:$B$7,"Checkmanually")</f>
        <v>Bronze</v>
      </c>
      <c r="L213" s="3">
        <v>44939</v>
      </c>
    </row>
    <row r="214" spans="1:12" x14ac:dyDescent="0.25">
      <c r="A214" s="2" t="s">
        <v>905</v>
      </c>
      <c r="B214" s="2" t="s">
        <v>906</v>
      </c>
      <c r="C214" s="2" t="s">
        <v>33</v>
      </c>
      <c r="D214" s="3">
        <v>38827</v>
      </c>
      <c r="E214" s="2" t="s">
        <v>907</v>
      </c>
      <c r="F214" s="2" t="s">
        <v>908</v>
      </c>
      <c r="G214" s="2" t="s">
        <v>54</v>
      </c>
      <c r="H214" s="2" t="s">
        <v>17</v>
      </c>
      <c r="I214" s="2" t="s">
        <v>18</v>
      </c>
      <c r="J214" s="2" t="s">
        <v>25</v>
      </c>
      <c r="K214" s="2" t="str">
        <f>_xlfn.XLOOKUP(TRIM(Table1[[#This Row],[Membership]]),Sheet2!$A$2:$A$7,Sheet2!$B$2:$B$7,"Checkmanually")</f>
        <v>Silver</v>
      </c>
      <c r="L214" s="3">
        <v>43204</v>
      </c>
    </row>
    <row r="215" spans="1:12" x14ac:dyDescent="0.25">
      <c r="A215" s="2" t="s">
        <v>909</v>
      </c>
      <c r="B215" s="2" t="s">
        <v>910</v>
      </c>
      <c r="C215" s="2" t="s">
        <v>13</v>
      </c>
      <c r="D215" s="3">
        <v>28281</v>
      </c>
      <c r="E215" s="2" t="s">
        <v>911</v>
      </c>
      <c r="F215" s="2" t="s">
        <v>912</v>
      </c>
      <c r="G215" s="2" t="s">
        <v>131</v>
      </c>
      <c r="H215" s="2" t="s">
        <v>91</v>
      </c>
      <c r="I215" s="2" t="s">
        <v>18</v>
      </c>
      <c r="J215" s="2" t="s">
        <v>19</v>
      </c>
      <c r="K215" s="2" t="str">
        <f>_xlfn.XLOOKUP(TRIM(Table1[[#This Row],[Membership]]),Sheet2!$A$2:$A$7,Sheet2!$B$2:$B$7,"Checkmanually")</f>
        <v>Bronze</v>
      </c>
      <c r="L215" s="3">
        <v>43907</v>
      </c>
    </row>
    <row r="216" spans="1:12" x14ac:dyDescent="0.25">
      <c r="A216" s="2" t="s">
        <v>913</v>
      </c>
      <c r="B216" s="2" t="s">
        <v>914</v>
      </c>
      <c r="C216" s="2" t="s">
        <v>13</v>
      </c>
      <c r="D216" s="3">
        <v>23259</v>
      </c>
      <c r="E216" s="2" t="s">
        <v>915</v>
      </c>
      <c r="F216" s="2" t="s">
        <v>916</v>
      </c>
      <c r="G216" s="2" t="s">
        <v>63</v>
      </c>
      <c r="H216" s="2" t="s">
        <v>17</v>
      </c>
      <c r="I216" s="2" t="s">
        <v>18</v>
      </c>
      <c r="J216" s="2" t="s">
        <v>19</v>
      </c>
      <c r="K216" s="2" t="str">
        <f>_xlfn.XLOOKUP(TRIM(Table1[[#This Row],[Membership]]),Sheet2!$A$2:$A$7,Sheet2!$B$2:$B$7,"Checkmanually")</f>
        <v>Bronze</v>
      </c>
      <c r="L216" s="3">
        <v>43215</v>
      </c>
    </row>
    <row r="217" spans="1:12" x14ac:dyDescent="0.25">
      <c r="A217" s="2" t="s">
        <v>917</v>
      </c>
      <c r="B217" s="2" t="s">
        <v>918</v>
      </c>
      <c r="C217" s="2" t="s">
        <v>13</v>
      </c>
      <c r="D217" s="3">
        <v>31044</v>
      </c>
      <c r="E217" s="2" t="s">
        <v>919</v>
      </c>
      <c r="F217" s="2" t="s">
        <v>920</v>
      </c>
      <c r="G217" s="2" t="s">
        <v>16</v>
      </c>
      <c r="H217" s="2" t="s">
        <v>17</v>
      </c>
      <c r="I217" s="2" t="s">
        <v>18</v>
      </c>
      <c r="J217" s="2" t="s">
        <v>19</v>
      </c>
      <c r="K217" s="2" t="str">
        <f>_xlfn.XLOOKUP(TRIM(Table1[[#This Row],[Membership]]),Sheet2!$A$2:$A$7,Sheet2!$B$2:$B$7,"Checkmanually")</f>
        <v>Bronze</v>
      </c>
      <c r="L217" s="3">
        <v>44126</v>
      </c>
    </row>
    <row r="218" spans="1:12" x14ac:dyDescent="0.25">
      <c r="A218" s="2" t="s">
        <v>921</v>
      </c>
      <c r="B218" s="2" t="s">
        <v>922</v>
      </c>
      <c r="C218" s="2" t="s">
        <v>13</v>
      </c>
      <c r="D218" s="3">
        <v>21873</v>
      </c>
      <c r="E218" s="2" t="s">
        <v>923</v>
      </c>
      <c r="F218" s="2" t="s">
        <v>924</v>
      </c>
      <c r="G218" s="2" t="s">
        <v>54</v>
      </c>
      <c r="H218" s="2" t="s">
        <v>17</v>
      </c>
      <c r="I218" s="2" t="s">
        <v>18</v>
      </c>
      <c r="J218" s="2" t="s">
        <v>19</v>
      </c>
      <c r="K218" s="2" t="str">
        <f>_xlfn.XLOOKUP(TRIM(Table1[[#This Row],[Membership]]),Sheet2!$A$2:$A$7,Sheet2!$B$2:$B$7,"Checkmanually")</f>
        <v>Bronze</v>
      </c>
      <c r="L218" s="3">
        <v>44467</v>
      </c>
    </row>
    <row r="219" spans="1:12" x14ac:dyDescent="0.25">
      <c r="A219" s="2" t="s">
        <v>925</v>
      </c>
      <c r="B219" s="2" t="s">
        <v>926</v>
      </c>
      <c r="C219" s="2" t="s">
        <v>13</v>
      </c>
      <c r="D219" s="3">
        <v>34459</v>
      </c>
      <c r="E219" s="2" t="s">
        <v>927</v>
      </c>
      <c r="F219" s="2" t="s">
        <v>928</v>
      </c>
      <c r="G219" s="2" t="s">
        <v>63</v>
      </c>
      <c r="H219" s="2" t="s">
        <v>17</v>
      </c>
      <c r="I219" s="2" t="s">
        <v>18</v>
      </c>
      <c r="J219" s="2" t="s">
        <v>19</v>
      </c>
      <c r="K219" s="2" t="str">
        <f>_xlfn.XLOOKUP(TRIM(Table1[[#This Row],[Membership]]),Sheet2!$A$2:$A$7,Sheet2!$B$2:$B$7,"Checkmanually")</f>
        <v>Bronze</v>
      </c>
      <c r="L219" s="3">
        <v>43492</v>
      </c>
    </row>
    <row r="220" spans="1:12" x14ac:dyDescent="0.25">
      <c r="A220" s="2" t="s">
        <v>929</v>
      </c>
      <c r="B220" s="2" t="s">
        <v>930</v>
      </c>
      <c r="C220" s="2" t="s">
        <v>33</v>
      </c>
      <c r="D220" s="3">
        <v>22078</v>
      </c>
      <c r="E220" s="2" t="s">
        <v>931</v>
      </c>
      <c r="F220" s="2" t="s">
        <v>932</v>
      </c>
      <c r="G220" s="2" t="s">
        <v>63</v>
      </c>
      <c r="H220" s="2" t="s">
        <v>17</v>
      </c>
      <c r="I220" s="2" t="s">
        <v>18</v>
      </c>
      <c r="J220" s="2" t="s">
        <v>933</v>
      </c>
      <c r="K220" s="2" t="str">
        <f>_xlfn.XLOOKUP(TRIM(Table1[[#This Row],[Membership]]),Sheet2!$A$2:$A$7,Sheet2!$B$2:$B$7,"Checkmanually")</f>
        <v>Gold</v>
      </c>
      <c r="L220" s="3">
        <v>43237</v>
      </c>
    </row>
    <row r="221" spans="1:12" x14ac:dyDescent="0.25">
      <c r="A221" s="2" t="s">
        <v>934</v>
      </c>
      <c r="B221" s="2" t="s">
        <v>935</v>
      </c>
      <c r="C221" s="2" t="s">
        <v>13</v>
      </c>
      <c r="D221" s="3">
        <v>22121</v>
      </c>
      <c r="E221" s="2" t="s">
        <v>936</v>
      </c>
      <c r="F221" s="2" t="s">
        <v>937</v>
      </c>
      <c r="G221" s="2" t="s">
        <v>63</v>
      </c>
      <c r="H221" s="2" t="s">
        <v>17</v>
      </c>
      <c r="I221" s="2" t="s">
        <v>18</v>
      </c>
      <c r="J221" s="2" t="s">
        <v>19</v>
      </c>
      <c r="K221" s="2" t="str">
        <f>_xlfn.XLOOKUP(TRIM(Table1[[#This Row],[Membership]]),Sheet2!$A$2:$A$7,Sheet2!$B$2:$B$7,"Checkmanually")</f>
        <v>Bronze</v>
      </c>
      <c r="L221" s="3">
        <v>44911</v>
      </c>
    </row>
    <row r="222" spans="1:12" x14ac:dyDescent="0.25">
      <c r="A222" s="2" t="s">
        <v>938</v>
      </c>
      <c r="B222" s="2" t="s">
        <v>939</v>
      </c>
      <c r="C222" s="2" t="s">
        <v>13</v>
      </c>
      <c r="D222" s="3">
        <v>21918</v>
      </c>
      <c r="E222" s="2" t="s">
        <v>940</v>
      </c>
      <c r="F222" s="2" t="s">
        <v>941</v>
      </c>
      <c r="G222" s="2" t="s">
        <v>131</v>
      </c>
      <c r="H222" s="2" t="s">
        <v>91</v>
      </c>
      <c r="I222" s="2" t="s">
        <v>18</v>
      </c>
      <c r="J222" s="2" t="s">
        <v>183</v>
      </c>
      <c r="K222" s="2" t="str">
        <f>_xlfn.XLOOKUP(TRIM(Table1[[#This Row],[Membership]]),Sheet2!$A$2:$A$7,Sheet2!$B$2:$B$7,"Checkmanually")</f>
        <v>Gold</v>
      </c>
      <c r="L222" s="3">
        <v>45391</v>
      </c>
    </row>
    <row r="223" spans="1:12" x14ac:dyDescent="0.25">
      <c r="A223" s="2" t="s">
        <v>942</v>
      </c>
      <c r="B223" s="2" t="s">
        <v>943</v>
      </c>
      <c r="C223" s="2" t="s">
        <v>33</v>
      </c>
      <c r="D223" s="3">
        <v>33561</v>
      </c>
      <c r="E223" s="2" t="s">
        <v>944</v>
      </c>
      <c r="F223" s="2" t="s">
        <v>945</v>
      </c>
      <c r="G223" s="2" t="s">
        <v>131</v>
      </c>
      <c r="H223" s="2" t="s">
        <v>91</v>
      </c>
      <c r="I223" s="2" t="s">
        <v>18</v>
      </c>
      <c r="J223" s="2" t="s">
        <v>25</v>
      </c>
      <c r="K223" s="2" t="str">
        <f>_xlfn.XLOOKUP(TRIM(Table1[[#This Row],[Membership]]),Sheet2!$A$2:$A$7,Sheet2!$B$2:$B$7,"Checkmanually")</f>
        <v>Silver</v>
      </c>
      <c r="L223" s="3">
        <v>44055</v>
      </c>
    </row>
    <row r="224" spans="1:12" x14ac:dyDescent="0.25">
      <c r="A224" s="2" t="s">
        <v>946</v>
      </c>
      <c r="B224" s="2" t="s">
        <v>947</v>
      </c>
      <c r="C224" s="2" t="s">
        <v>33</v>
      </c>
      <c r="D224" s="3">
        <v>32670</v>
      </c>
      <c r="E224" s="2" t="s">
        <v>948</v>
      </c>
      <c r="F224" s="2" t="s">
        <v>949</v>
      </c>
      <c r="G224" s="2" t="s">
        <v>121</v>
      </c>
      <c r="H224" s="2" t="s">
        <v>122</v>
      </c>
      <c r="I224" s="2" t="s">
        <v>18</v>
      </c>
      <c r="J224" s="2" t="s">
        <v>183</v>
      </c>
      <c r="K224" s="2" t="str">
        <f>_xlfn.XLOOKUP(TRIM(Table1[[#This Row],[Membership]]),Sheet2!$A$2:$A$7,Sheet2!$B$2:$B$7,"Checkmanually")</f>
        <v>Gold</v>
      </c>
      <c r="L224" s="3">
        <v>45002</v>
      </c>
    </row>
    <row r="225" spans="1:12" x14ac:dyDescent="0.25">
      <c r="A225" s="2" t="s">
        <v>950</v>
      </c>
      <c r="B225" s="2" t="s">
        <v>951</v>
      </c>
      <c r="C225" s="2" t="s">
        <v>13</v>
      </c>
      <c r="D225" s="3">
        <v>31218</v>
      </c>
      <c r="E225" s="2" t="s">
        <v>952</v>
      </c>
      <c r="F225" s="2" t="s">
        <v>953</v>
      </c>
      <c r="G225" s="2" t="s">
        <v>121</v>
      </c>
      <c r="H225" s="2" t="s">
        <v>122</v>
      </c>
      <c r="I225" s="2" t="s">
        <v>18</v>
      </c>
      <c r="J225" s="2" t="s">
        <v>19</v>
      </c>
      <c r="K225" s="2" t="str">
        <f>_xlfn.XLOOKUP(TRIM(Table1[[#This Row],[Membership]]),Sheet2!$A$2:$A$7,Sheet2!$B$2:$B$7,"Checkmanually")</f>
        <v>Bronze</v>
      </c>
      <c r="L225" s="3">
        <v>45767</v>
      </c>
    </row>
    <row r="226" spans="1:12" x14ac:dyDescent="0.25">
      <c r="A226" s="2" t="s">
        <v>954</v>
      </c>
      <c r="B226" s="2" t="s">
        <v>955</v>
      </c>
      <c r="C226" s="2" t="s">
        <v>33</v>
      </c>
      <c r="D226" s="3">
        <v>39351</v>
      </c>
      <c r="E226" s="2" t="s">
        <v>956</v>
      </c>
      <c r="F226" s="2" t="s">
        <v>957</v>
      </c>
      <c r="G226" s="2" t="s">
        <v>90</v>
      </c>
      <c r="H226" s="2" t="s">
        <v>91</v>
      </c>
      <c r="I226" s="2" t="s">
        <v>18</v>
      </c>
      <c r="J226" s="2" t="s">
        <v>25</v>
      </c>
      <c r="K226" s="2" t="str">
        <f>_xlfn.XLOOKUP(TRIM(Table1[[#This Row],[Membership]]),Sheet2!$A$2:$A$7,Sheet2!$B$2:$B$7,"Checkmanually")</f>
        <v>Silver</v>
      </c>
      <c r="L226" s="3">
        <v>43889</v>
      </c>
    </row>
    <row r="227" spans="1:12" x14ac:dyDescent="0.25">
      <c r="A227" s="2" t="s">
        <v>958</v>
      </c>
      <c r="B227" s="2" t="s">
        <v>959</v>
      </c>
      <c r="C227" s="2" t="s">
        <v>33</v>
      </c>
      <c r="D227" s="3">
        <v>26434</v>
      </c>
      <c r="E227" s="2" t="s">
        <v>960</v>
      </c>
      <c r="F227" s="2" t="s">
        <v>961</v>
      </c>
      <c r="G227" s="2" t="s">
        <v>121</v>
      </c>
      <c r="H227" s="2" t="s">
        <v>122</v>
      </c>
      <c r="I227" s="2" t="s">
        <v>18</v>
      </c>
      <c r="J227" s="2" t="s">
        <v>19</v>
      </c>
      <c r="K227" s="2" t="str">
        <f>_xlfn.XLOOKUP(TRIM(Table1[[#This Row],[Membership]]),Sheet2!$A$2:$A$7,Sheet2!$B$2:$B$7,"Checkmanually")</f>
        <v>Bronze</v>
      </c>
      <c r="L227" s="3">
        <v>45448</v>
      </c>
    </row>
    <row r="228" spans="1:12" x14ac:dyDescent="0.25">
      <c r="A228" s="2" t="s">
        <v>962</v>
      </c>
      <c r="B228" s="2" t="s">
        <v>2869</v>
      </c>
      <c r="C228" s="2" t="s">
        <v>13</v>
      </c>
      <c r="D228" s="3">
        <v>35864</v>
      </c>
      <c r="E228" s="2" t="s">
        <v>963</v>
      </c>
      <c r="F228" s="2" t="s">
        <v>964</v>
      </c>
      <c r="G228" s="2" t="s">
        <v>30</v>
      </c>
      <c r="H228" s="2" t="s">
        <v>17</v>
      </c>
      <c r="I228" s="2" t="s">
        <v>18</v>
      </c>
      <c r="J228" s="2" t="s">
        <v>25</v>
      </c>
      <c r="K228" s="2" t="str">
        <f>_xlfn.XLOOKUP(TRIM(Table1[[#This Row],[Membership]]),Sheet2!$A$2:$A$7,Sheet2!$B$2:$B$7,"Checkmanually")</f>
        <v>Silver</v>
      </c>
      <c r="L228" s="3">
        <v>46069</v>
      </c>
    </row>
    <row r="229" spans="1:12" x14ac:dyDescent="0.25">
      <c r="A229" s="2" t="s">
        <v>965</v>
      </c>
      <c r="B229" s="2" t="s">
        <v>966</v>
      </c>
      <c r="C229" s="2" t="s">
        <v>33</v>
      </c>
      <c r="D229" s="3">
        <v>21534</v>
      </c>
      <c r="E229" s="2" t="s">
        <v>967</v>
      </c>
      <c r="F229" s="2" t="s">
        <v>968</v>
      </c>
      <c r="G229" s="2" t="s">
        <v>54</v>
      </c>
      <c r="H229" s="2" t="s">
        <v>17</v>
      </c>
      <c r="I229" s="2" t="s">
        <v>18</v>
      </c>
      <c r="J229" s="2" t="s">
        <v>183</v>
      </c>
      <c r="K229" s="2" t="str">
        <f>_xlfn.XLOOKUP(TRIM(Table1[[#This Row],[Membership]]),Sheet2!$A$2:$A$7,Sheet2!$B$2:$B$7,"Checkmanually")</f>
        <v>Gold</v>
      </c>
      <c r="L229" s="3">
        <v>43348</v>
      </c>
    </row>
    <row r="230" spans="1:12" x14ac:dyDescent="0.25">
      <c r="A230" s="2" t="s">
        <v>969</v>
      </c>
      <c r="B230" s="2" t="s">
        <v>970</v>
      </c>
      <c r="C230" s="2" t="s">
        <v>13</v>
      </c>
      <c r="D230" s="3">
        <v>31812</v>
      </c>
      <c r="E230" s="2" t="s">
        <v>971</v>
      </c>
      <c r="F230" s="2" t="s">
        <v>972</v>
      </c>
      <c r="G230" s="2" t="s">
        <v>131</v>
      </c>
      <c r="H230" s="2" t="s">
        <v>91</v>
      </c>
      <c r="I230" s="2" t="s">
        <v>18</v>
      </c>
      <c r="J230" s="2" t="s">
        <v>25</v>
      </c>
      <c r="K230" s="2" t="str">
        <f>_xlfn.XLOOKUP(TRIM(Table1[[#This Row],[Membership]]),Sheet2!$A$2:$A$7,Sheet2!$B$2:$B$7,"Checkmanually")</f>
        <v>Silver</v>
      </c>
      <c r="L230" s="3">
        <v>44375</v>
      </c>
    </row>
    <row r="231" spans="1:12" x14ac:dyDescent="0.25">
      <c r="A231" s="2" t="s">
        <v>973</v>
      </c>
      <c r="B231" s="2" t="s">
        <v>974</v>
      </c>
      <c r="C231" s="2" t="s">
        <v>13</v>
      </c>
      <c r="D231" s="3">
        <v>31326</v>
      </c>
      <c r="E231" s="2" t="s">
        <v>975</v>
      </c>
      <c r="F231" s="2" t="s">
        <v>976</v>
      </c>
      <c r="G231" s="2" t="s">
        <v>577</v>
      </c>
      <c r="H231" s="2" t="s">
        <v>388</v>
      </c>
      <c r="I231" s="2" t="s">
        <v>146</v>
      </c>
      <c r="J231" s="2" t="s">
        <v>25</v>
      </c>
      <c r="K231" s="2" t="str">
        <f>_xlfn.XLOOKUP(TRIM(Table1[[#This Row],[Membership]]),Sheet2!$A$2:$A$7,Sheet2!$B$2:$B$7,"Checkmanually")</f>
        <v>Silver</v>
      </c>
      <c r="L231" s="3">
        <v>44293</v>
      </c>
    </row>
    <row r="232" spans="1:12" x14ac:dyDescent="0.25">
      <c r="A232" s="2" t="s">
        <v>977</v>
      </c>
      <c r="B232" s="2" t="s">
        <v>978</v>
      </c>
      <c r="C232" s="2" t="s">
        <v>33</v>
      </c>
      <c r="D232" s="3">
        <v>36706</v>
      </c>
      <c r="E232" s="2" t="s">
        <v>979</v>
      </c>
      <c r="F232" s="2" t="s">
        <v>980</v>
      </c>
      <c r="G232" s="2" t="s">
        <v>115</v>
      </c>
      <c r="H232" s="2" t="s">
        <v>116</v>
      </c>
      <c r="I232" s="2" t="s">
        <v>42</v>
      </c>
      <c r="J232" s="2" t="s">
        <v>183</v>
      </c>
      <c r="K232" s="2" t="str">
        <f>_xlfn.XLOOKUP(TRIM(Table1[[#This Row],[Membership]]),Sheet2!$A$2:$A$7,Sheet2!$B$2:$B$7,"Checkmanually")</f>
        <v>Gold</v>
      </c>
      <c r="L232" s="3">
        <v>45392</v>
      </c>
    </row>
    <row r="233" spans="1:12" x14ac:dyDescent="0.25">
      <c r="A233" s="2" t="s">
        <v>981</v>
      </c>
      <c r="B233" s="2" t="s">
        <v>982</v>
      </c>
      <c r="C233" s="2" t="s">
        <v>33</v>
      </c>
      <c r="D233" s="3">
        <v>26684</v>
      </c>
      <c r="E233" s="2" t="s">
        <v>983</v>
      </c>
      <c r="F233" s="2" t="s">
        <v>984</v>
      </c>
      <c r="G233" s="2" t="s">
        <v>54</v>
      </c>
      <c r="H233" s="2" t="s">
        <v>17</v>
      </c>
      <c r="I233" s="2" t="s">
        <v>18</v>
      </c>
      <c r="J233" s="2" t="s">
        <v>19</v>
      </c>
      <c r="K233" s="2" t="str">
        <f>_xlfn.XLOOKUP(TRIM(Table1[[#This Row],[Membership]]),Sheet2!$A$2:$A$7,Sheet2!$B$2:$B$7,"Checkmanually")</f>
        <v>Bronze</v>
      </c>
      <c r="L233" s="3">
        <v>43381</v>
      </c>
    </row>
    <row r="234" spans="1:12" x14ac:dyDescent="0.25">
      <c r="A234" s="2" t="s">
        <v>985</v>
      </c>
      <c r="B234" s="2" t="s">
        <v>986</v>
      </c>
      <c r="C234" s="2" t="s">
        <v>13</v>
      </c>
      <c r="D234" s="3">
        <v>35405</v>
      </c>
      <c r="E234" s="2" t="s">
        <v>987</v>
      </c>
      <c r="F234" s="2" t="s">
        <v>988</v>
      </c>
      <c r="G234" s="2" t="s">
        <v>90</v>
      </c>
      <c r="H234" s="2" t="s">
        <v>91</v>
      </c>
      <c r="I234" s="2" t="s">
        <v>18</v>
      </c>
      <c r="J234" s="2" t="s">
        <v>19</v>
      </c>
      <c r="K234" s="2" t="str">
        <f>_xlfn.XLOOKUP(TRIM(Table1[[#This Row],[Membership]]),Sheet2!$A$2:$A$7,Sheet2!$B$2:$B$7,"Checkmanually")</f>
        <v>Bronze</v>
      </c>
      <c r="L234" s="3">
        <v>45557</v>
      </c>
    </row>
    <row r="235" spans="1:12" x14ac:dyDescent="0.25">
      <c r="A235" s="2" t="s">
        <v>989</v>
      </c>
      <c r="B235" s="2" t="s">
        <v>990</v>
      </c>
      <c r="C235" s="2" t="s">
        <v>13</v>
      </c>
      <c r="D235" s="3">
        <v>31088</v>
      </c>
      <c r="E235" s="2" t="s">
        <v>991</v>
      </c>
      <c r="F235" s="2" t="s">
        <v>992</v>
      </c>
      <c r="G235" s="2" t="s">
        <v>121</v>
      </c>
      <c r="H235" s="2" t="s">
        <v>122</v>
      </c>
      <c r="I235" s="2" t="s">
        <v>18</v>
      </c>
      <c r="J235" s="2" t="s">
        <v>19</v>
      </c>
      <c r="K235" s="2" t="str">
        <f>_xlfn.XLOOKUP(TRIM(Table1[[#This Row],[Membership]]),Sheet2!$A$2:$A$7,Sheet2!$B$2:$B$7,"Checkmanually")</f>
        <v>Bronze</v>
      </c>
      <c r="L235" s="3">
        <v>45624</v>
      </c>
    </row>
    <row r="236" spans="1:12" x14ac:dyDescent="0.25">
      <c r="A236" s="2" t="s">
        <v>993</v>
      </c>
      <c r="B236" s="2" t="s">
        <v>994</v>
      </c>
      <c r="C236" s="2" t="s">
        <v>33</v>
      </c>
      <c r="D236" s="3">
        <v>21472</v>
      </c>
      <c r="E236" s="2" t="s">
        <v>995</v>
      </c>
      <c r="F236" s="2" t="s">
        <v>996</v>
      </c>
      <c r="G236" s="2" t="s">
        <v>228</v>
      </c>
      <c r="H236" s="2" t="s">
        <v>17</v>
      </c>
      <c r="I236" s="2" t="s">
        <v>18</v>
      </c>
      <c r="J236" s="2" t="s">
        <v>183</v>
      </c>
      <c r="K236" s="2" t="str">
        <f>_xlfn.XLOOKUP(TRIM(Table1[[#This Row],[Membership]]),Sheet2!$A$2:$A$7,Sheet2!$B$2:$B$7,"Checkmanually")</f>
        <v>Gold</v>
      </c>
      <c r="L236" s="3">
        <v>45132</v>
      </c>
    </row>
    <row r="237" spans="1:12" x14ac:dyDescent="0.25">
      <c r="A237" s="2" t="s">
        <v>997</v>
      </c>
      <c r="B237" s="2" t="s">
        <v>998</v>
      </c>
      <c r="C237" s="2" t="s">
        <v>33</v>
      </c>
      <c r="D237" s="3">
        <v>35377</v>
      </c>
      <c r="E237" s="2" t="s">
        <v>999</v>
      </c>
      <c r="F237" s="2" t="s">
        <v>1000</v>
      </c>
      <c r="G237" s="2" t="s">
        <v>115</v>
      </c>
      <c r="H237" s="2" t="s">
        <v>116</v>
      </c>
      <c r="I237" s="2" t="s">
        <v>42</v>
      </c>
      <c r="J237" s="2" t="s">
        <v>19</v>
      </c>
      <c r="K237" s="2" t="str">
        <f>_xlfn.XLOOKUP(TRIM(Table1[[#This Row],[Membership]]),Sheet2!$A$2:$A$7,Sheet2!$B$2:$B$7,"Checkmanually")</f>
        <v>Bronze</v>
      </c>
      <c r="L237" s="3">
        <v>45656</v>
      </c>
    </row>
    <row r="238" spans="1:12" x14ac:dyDescent="0.25">
      <c r="A238" s="2" t="s">
        <v>1001</v>
      </c>
      <c r="B238" s="2" t="s">
        <v>1002</v>
      </c>
      <c r="C238" s="2" t="s">
        <v>13</v>
      </c>
      <c r="D238" s="3">
        <v>32407</v>
      </c>
      <c r="E238" s="2" t="s">
        <v>1003</v>
      </c>
      <c r="F238" s="2" t="s">
        <v>1004</v>
      </c>
      <c r="G238" s="2" t="s">
        <v>24</v>
      </c>
      <c r="H238" s="2" t="s">
        <v>17</v>
      </c>
      <c r="I238" s="2" t="s">
        <v>18</v>
      </c>
      <c r="J238" s="2" t="s">
        <v>19</v>
      </c>
      <c r="K238" s="2" t="str">
        <f>_xlfn.XLOOKUP(TRIM(Table1[[#This Row],[Membership]]),Sheet2!$A$2:$A$7,Sheet2!$B$2:$B$7,"Checkmanually")</f>
        <v>Bronze</v>
      </c>
      <c r="L238" s="3">
        <v>43941</v>
      </c>
    </row>
    <row r="239" spans="1:12" x14ac:dyDescent="0.25">
      <c r="A239" s="2" t="s">
        <v>1005</v>
      </c>
      <c r="B239" s="2" t="s">
        <v>1006</v>
      </c>
      <c r="C239" s="2" t="s">
        <v>33</v>
      </c>
      <c r="D239" s="3">
        <v>22506</v>
      </c>
      <c r="E239" s="2" t="s">
        <v>1007</v>
      </c>
      <c r="F239" s="2" t="s">
        <v>1008</v>
      </c>
      <c r="G239" s="2" t="s">
        <v>16</v>
      </c>
      <c r="H239" s="2" t="s">
        <v>17</v>
      </c>
      <c r="I239" s="2" t="s">
        <v>18</v>
      </c>
      <c r="J239" s="2" t="s">
        <v>25</v>
      </c>
      <c r="K239" s="2" t="str">
        <f>_xlfn.XLOOKUP(TRIM(Table1[[#This Row],[Membership]]),Sheet2!$A$2:$A$7,Sheet2!$B$2:$B$7,"Checkmanually")</f>
        <v>Silver</v>
      </c>
      <c r="L239" s="3">
        <v>44566</v>
      </c>
    </row>
    <row r="240" spans="1:12" x14ac:dyDescent="0.25">
      <c r="A240" s="2" t="s">
        <v>1009</v>
      </c>
      <c r="B240" s="2" t="s">
        <v>1010</v>
      </c>
      <c r="C240" s="2" t="s">
        <v>33</v>
      </c>
      <c r="D240" s="3">
        <v>26460</v>
      </c>
      <c r="E240" s="2" t="s">
        <v>1011</v>
      </c>
      <c r="F240" s="2" t="s">
        <v>1012</v>
      </c>
      <c r="G240" s="2" t="s">
        <v>228</v>
      </c>
      <c r="H240" s="2" t="s">
        <v>17</v>
      </c>
      <c r="I240" s="2" t="s">
        <v>18</v>
      </c>
      <c r="J240" s="2" t="s">
        <v>25</v>
      </c>
      <c r="K240" s="2" t="str">
        <f>_xlfn.XLOOKUP(TRIM(Table1[[#This Row],[Membership]]),Sheet2!$A$2:$A$7,Sheet2!$B$2:$B$7,"Checkmanually")</f>
        <v>Silver</v>
      </c>
      <c r="L240" s="3">
        <v>45686</v>
      </c>
    </row>
    <row r="241" spans="1:12" x14ac:dyDescent="0.25">
      <c r="A241" s="2" t="s">
        <v>1013</v>
      </c>
      <c r="B241" s="2" t="s">
        <v>1014</v>
      </c>
      <c r="C241" s="2" t="s">
        <v>33</v>
      </c>
      <c r="D241" s="3">
        <v>26614</v>
      </c>
      <c r="E241" s="2" t="s">
        <v>1015</v>
      </c>
      <c r="F241" s="2" t="s">
        <v>1016</v>
      </c>
      <c r="G241" s="2" t="s">
        <v>193</v>
      </c>
      <c r="H241" s="2" t="s">
        <v>193</v>
      </c>
      <c r="I241" s="2" t="s">
        <v>49</v>
      </c>
      <c r="J241" s="2" t="s">
        <v>19</v>
      </c>
      <c r="K241" s="2" t="str">
        <f>_xlfn.XLOOKUP(TRIM(Table1[[#This Row],[Membership]]),Sheet2!$A$2:$A$7,Sheet2!$B$2:$B$7,"Checkmanually")</f>
        <v>Bronze</v>
      </c>
      <c r="L241" s="3">
        <v>43911</v>
      </c>
    </row>
    <row r="242" spans="1:12" x14ac:dyDescent="0.25">
      <c r="A242" s="2" t="s">
        <v>1017</v>
      </c>
      <c r="B242" s="2" t="s">
        <v>1018</v>
      </c>
      <c r="C242" s="2" t="s">
        <v>13</v>
      </c>
      <c r="D242" s="3">
        <v>31225</v>
      </c>
      <c r="E242" s="2" t="s">
        <v>1019</v>
      </c>
      <c r="F242" s="2" t="s">
        <v>1020</v>
      </c>
      <c r="G242" s="2" t="s">
        <v>30</v>
      </c>
      <c r="H242" s="2" t="s">
        <v>17</v>
      </c>
      <c r="I242" s="2" t="s">
        <v>18</v>
      </c>
      <c r="J242" s="2" t="s">
        <v>19</v>
      </c>
      <c r="K242" s="2" t="str">
        <f>_xlfn.XLOOKUP(TRIM(Table1[[#This Row],[Membership]]),Sheet2!$A$2:$A$7,Sheet2!$B$2:$B$7,"Checkmanually")</f>
        <v>Bronze</v>
      </c>
      <c r="L242" s="3">
        <v>45372</v>
      </c>
    </row>
    <row r="243" spans="1:12" x14ac:dyDescent="0.25">
      <c r="A243" s="2" t="s">
        <v>1021</v>
      </c>
      <c r="B243" s="2" t="s">
        <v>2869</v>
      </c>
      <c r="C243" s="2" t="s">
        <v>13</v>
      </c>
      <c r="D243" s="3">
        <v>28668</v>
      </c>
      <c r="E243" s="2" t="s">
        <v>1022</v>
      </c>
      <c r="F243" s="2" t="s">
        <v>1023</v>
      </c>
      <c r="G243" s="2" t="s">
        <v>16</v>
      </c>
      <c r="H243" s="2" t="s">
        <v>17</v>
      </c>
      <c r="I243" s="2" t="s">
        <v>18</v>
      </c>
      <c r="J243" s="2" t="s">
        <v>183</v>
      </c>
      <c r="K243" s="2" t="str">
        <f>_xlfn.XLOOKUP(TRIM(Table1[[#This Row],[Membership]]),Sheet2!$A$2:$A$7,Sheet2!$B$2:$B$7,"Checkmanually")</f>
        <v>Gold</v>
      </c>
      <c r="L243" s="3">
        <v>43515</v>
      </c>
    </row>
    <row r="244" spans="1:12" x14ac:dyDescent="0.25">
      <c r="A244" s="2" t="s">
        <v>1024</v>
      </c>
      <c r="B244" s="2" t="s">
        <v>1025</v>
      </c>
      <c r="C244" s="2" t="s">
        <v>13</v>
      </c>
      <c r="D244" s="3">
        <v>23726</v>
      </c>
      <c r="E244" s="2" t="s">
        <v>1026</v>
      </c>
      <c r="F244" s="2" t="s">
        <v>1027</v>
      </c>
      <c r="G244" s="2" t="s">
        <v>228</v>
      </c>
      <c r="H244" s="2" t="s">
        <v>17</v>
      </c>
      <c r="I244" s="2" t="s">
        <v>18</v>
      </c>
      <c r="J244" s="2" t="s">
        <v>25</v>
      </c>
      <c r="K244" s="2" t="str">
        <f>_xlfn.XLOOKUP(TRIM(Table1[[#This Row],[Membership]]),Sheet2!$A$2:$A$7,Sheet2!$B$2:$B$7,"Checkmanually")</f>
        <v>Silver</v>
      </c>
      <c r="L244" s="3">
        <v>44487</v>
      </c>
    </row>
    <row r="245" spans="1:12" x14ac:dyDescent="0.25">
      <c r="A245" s="2" t="s">
        <v>1028</v>
      </c>
      <c r="B245" s="2" t="s">
        <v>1029</v>
      </c>
      <c r="C245" s="2" t="s">
        <v>13</v>
      </c>
      <c r="D245" s="3">
        <v>32291</v>
      </c>
      <c r="E245" s="2" t="s">
        <v>1030</v>
      </c>
      <c r="F245" s="2" t="s">
        <v>1031</v>
      </c>
      <c r="G245" s="2" t="s">
        <v>54</v>
      </c>
      <c r="H245" s="2" t="s">
        <v>17</v>
      </c>
      <c r="I245" s="2" t="s">
        <v>18</v>
      </c>
      <c r="J245" s="2" t="s">
        <v>25</v>
      </c>
      <c r="K245" s="2" t="str">
        <f>_xlfn.XLOOKUP(TRIM(Table1[[#This Row],[Membership]]),Sheet2!$A$2:$A$7,Sheet2!$B$2:$B$7,"Checkmanually")</f>
        <v>Silver</v>
      </c>
      <c r="L245" s="3">
        <v>45808</v>
      </c>
    </row>
    <row r="246" spans="1:12" x14ac:dyDescent="0.25">
      <c r="A246" s="2" t="s">
        <v>1032</v>
      </c>
      <c r="B246" s="2" t="s">
        <v>1033</v>
      </c>
      <c r="C246" s="2" t="s">
        <v>13</v>
      </c>
      <c r="D246" s="3">
        <v>22232</v>
      </c>
      <c r="E246" s="2" t="s">
        <v>1034</v>
      </c>
      <c r="F246" s="2" t="s">
        <v>1035</v>
      </c>
      <c r="G246" s="2" t="s">
        <v>40</v>
      </c>
      <c r="H246" s="2" t="s">
        <v>41</v>
      </c>
      <c r="I246" s="2" t="s">
        <v>42</v>
      </c>
      <c r="J246" s="2" t="s">
        <v>19</v>
      </c>
      <c r="K246" s="2" t="str">
        <f>_xlfn.XLOOKUP(TRIM(Table1[[#This Row],[Membership]]),Sheet2!$A$2:$A$7,Sheet2!$B$2:$B$7,"Checkmanually")</f>
        <v>Bronze</v>
      </c>
      <c r="L246" s="3">
        <v>43586</v>
      </c>
    </row>
    <row r="247" spans="1:12" x14ac:dyDescent="0.25">
      <c r="A247" s="2" t="s">
        <v>1036</v>
      </c>
      <c r="B247" s="2" t="s">
        <v>1037</v>
      </c>
      <c r="C247" s="2" t="s">
        <v>33</v>
      </c>
      <c r="D247" s="3">
        <v>32482</v>
      </c>
      <c r="E247" s="2" t="s">
        <v>1038</v>
      </c>
      <c r="F247" s="2" t="s">
        <v>1039</v>
      </c>
      <c r="G247" s="2" t="s">
        <v>577</v>
      </c>
      <c r="H247" s="2" t="s">
        <v>388</v>
      </c>
      <c r="I247" s="2" t="s">
        <v>146</v>
      </c>
      <c r="J247" s="2" t="s">
        <v>183</v>
      </c>
      <c r="K247" s="2" t="str">
        <f>_xlfn.XLOOKUP(TRIM(Table1[[#This Row],[Membership]]),Sheet2!$A$2:$A$7,Sheet2!$B$2:$B$7,"Checkmanually")</f>
        <v>Gold</v>
      </c>
      <c r="L247" s="3">
        <v>45945</v>
      </c>
    </row>
    <row r="248" spans="1:12" x14ac:dyDescent="0.25">
      <c r="A248" s="2" t="s">
        <v>1040</v>
      </c>
      <c r="B248" s="2" t="s">
        <v>1041</v>
      </c>
      <c r="C248" s="2" t="s">
        <v>13</v>
      </c>
      <c r="D248" s="3">
        <v>28103</v>
      </c>
      <c r="E248" s="2" t="s">
        <v>1042</v>
      </c>
      <c r="F248" s="2" t="s">
        <v>1043</v>
      </c>
      <c r="G248" s="2" t="s">
        <v>131</v>
      </c>
      <c r="H248" s="2" t="s">
        <v>91</v>
      </c>
      <c r="I248" s="2" t="s">
        <v>18</v>
      </c>
      <c r="J248" s="2" t="s">
        <v>19</v>
      </c>
      <c r="K248" s="2" t="str">
        <f>_xlfn.XLOOKUP(TRIM(Table1[[#This Row],[Membership]]),Sheet2!$A$2:$A$7,Sheet2!$B$2:$B$7,"Checkmanually")</f>
        <v>Bronze</v>
      </c>
      <c r="L248" s="3">
        <v>43290</v>
      </c>
    </row>
    <row r="249" spans="1:12" x14ac:dyDescent="0.25">
      <c r="A249" s="2" t="s">
        <v>1044</v>
      </c>
      <c r="B249" s="2" t="s">
        <v>1045</v>
      </c>
      <c r="C249" s="2" t="s">
        <v>13</v>
      </c>
      <c r="D249" s="3">
        <v>29729</v>
      </c>
      <c r="E249" s="2" t="s">
        <v>1046</v>
      </c>
      <c r="F249" s="2" t="s">
        <v>1047</v>
      </c>
      <c r="G249" s="2" t="s">
        <v>54</v>
      </c>
      <c r="H249" s="2" t="s">
        <v>17</v>
      </c>
      <c r="I249" s="2" t="s">
        <v>18</v>
      </c>
      <c r="J249" s="2" t="s">
        <v>19</v>
      </c>
      <c r="K249" s="2" t="str">
        <f>_xlfn.XLOOKUP(TRIM(Table1[[#This Row],[Membership]]),Sheet2!$A$2:$A$7,Sheet2!$B$2:$B$7,"Checkmanually")</f>
        <v>Bronze</v>
      </c>
      <c r="L249" s="3">
        <v>43709</v>
      </c>
    </row>
    <row r="250" spans="1:12" x14ac:dyDescent="0.25">
      <c r="A250" s="2" t="s">
        <v>1048</v>
      </c>
      <c r="B250" s="2" t="s">
        <v>1049</v>
      </c>
      <c r="C250" s="2" t="s">
        <v>33</v>
      </c>
      <c r="D250" s="3">
        <v>36744</v>
      </c>
      <c r="E250" s="2" t="s">
        <v>1050</v>
      </c>
      <c r="F250" s="2" t="s">
        <v>1051</v>
      </c>
      <c r="G250" s="2" t="s">
        <v>30</v>
      </c>
      <c r="H250" s="2" t="s">
        <v>17</v>
      </c>
      <c r="I250" s="2" t="s">
        <v>18</v>
      </c>
      <c r="J250" s="2" t="s">
        <v>19</v>
      </c>
      <c r="K250" s="2" t="str">
        <f>_xlfn.XLOOKUP(TRIM(Table1[[#This Row],[Membership]]),Sheet2!$A$2:$A$7,Sheet2!$B$2:$B$7,"Checkmanually")</f>
        <v>Bronze</v>
      </c>
      <c r="L250" s="3">
        <v>45493</v>
      </c>
    </row>
    <row r="251" spans="1:12" x14ac:dyDescent="0.25">
      <c r="A251" s="2" t="s">
        <v>1052</v>
      </c>
      <c r="B251" s="2" t="s">
        <v>1053</v>
      </c>
      <c r="C251" s="2" t="s">
        <v>13</v>
      </c>
      <c r="D251" s="3">
        <v>22215</v>
      </c>
      <c r="E251" s="2" t="s">
        <v>1054</v>
      </c>
      <c r="F251" s="2" t="s">
        <v>1055</v>
      </c>
      <c r="G251" s="2" t="s">
        <v>63</v>
      </c>
      <c r="H251" s="2" t="s">
        <v>17</v>
      </c>
      <c r="I251" s="2" t="s">
        <v>18</v>
      </c>
      <c r="J251" s="2" t="s">
        <v>19</v>
      </c>
      <c r="K251" s="2" t="str">
        <f>_xlfn.XLOOKUP(TRIM(Table1[[#This Row],[Membership]]),Sheet2!$A$2:$A$7,Sheet2!$B$2:$B$7,"Checkmanually")</f>
        <v>Bronze</v>
      </c>
      <c r="L251" s="3">
        <v>43786</v>
      </c>
    </row>
    <row r="252" spans="1:12" x14ac:dyDescent="0.25">
      <c r="A252" s="2" t="s">
        <v>1056</v>
      </c>
      <c r="B252" s="2" t="s">
        <v>1057</v>
      </c>
      <c r="C252" s="2" t="s">
        <v>33</v>
      </c>
      <c r="D252" s="3">
        <v>37093</v>
      </c>
      <c r="E252" s="2" t="s">
        <v>1058</v>
      </c>
      <c r="F252" s="2" t="s">
        <v>1059</v>
      </c>
      <c r="G252" s="2" t="s">
        <v>84</v>
      </c>
      <c r="H252" s="2" t="s">
        <v>85</v>
      </c>
      <c r="I252" s="2" t="s">
        <v>18</v>
      </c>
      <c r="J252" s="2" t="s">
        <v>25</v>
      </c>
      <c r="K252" s="2" t="str">
        <f>_xlfn.XLOOKUP(TRIM(Table1[[#This Row],[Membership]]),Sheet2!$A$2:$A$7,Sheet2!$B$2:$B$7,"Checkmanually")</f>
        <v>Silver</v>
      </c>
      <c r="L252" s="3">
        <v>45002</v>
      </c>
    </row>
    <row r="253" spans="1:12" x14ac:dyDescent="0.25">
      <c r="A253" s="2" t="s">
        <v>1060</v>
      </c>
      <c r="B253" s="2" t="s">
        <v>1061</v>
      </c>
      <c r="C253" s="2" t="s">
        <v>33</v>
      </c>
      <c r="D253" s="3">
        <v>35926</v>
      </c>
      <c r="E253" s="2" t="s">
        <v>1062</v>
      </c>
      <c r="F253" s="2" t="s">
        <v>1063</v>
      </c>
      <c r="G253" s="2" t="s">
        <v>24</v>
      </c>
      <c r="H253" s="2" t="s">
        <v>17</v>
      </c>
      <c r="I253" s="2" t="s">
        <v>18</v>
      </c>
      <c r="J253" s="2" t="s">
        <v>25</v>
      </c>
      <c r="K253" s="2" t="str">
        <f>_xlfn.XLOOKUP(TRIM(Table1[[#This Row],[Membership]]),Sheet2!$A$2:$A$7,Sheet2!$B$2:$B$7,"Checkmanually")</f>
        <v>Silver</v>
      </c>
      <c r="L253" s="3">
        <v>46032</v>
      </c>
    </row>
    <row r="254" spans="1:12" x14ac:dyDescent="0.25">
      <c r="A254" s="2" t="s">
        <v>1064</v>
      </c>
      <c r="B254" s="2" t="s">
        <v>1065</v>
      </c>
      <c r="C254" s="2" t="s">
        <v>33</v>
      </c>
      <c r="D254" s="3">
        <v>39225</v>
      </c>
      <c r="E254" s="2" t="s">
        <v>1066</v>
      </c>
      <c r="F254" s="2" t="s">
        <v>1067</v>
      </c>
      <c r="G254" s="2" t="s">
        <v>121</v>
      </c>
      <c r="H254" s="2" t="s">
        <v>122</v>
      </c>
      <c r="I254" s="2" t="s">
        <v>18</v>
      </c>
      <c r="J254" s="2" t="s">
        <v>25</v>
      </c>
      <c r="K254" s="2" t="str">
        <f>_xlfn.XLOOKUP(TRIM(Table1[[#This Row],[Membership]]),Sheet2!$A$2:$A$7,Sheet2!$B$2:$B$7,"Checkmanually")</f>
        <v>Silver</v>
      </c>
      <c r="L254" s="3">
        <v>45762</v>
      </c>
    </row>
    <row r="255" spans="1:12" x14ac:dyDescent="0.25">
      <c r="A255" s="2" t="s">
        <v>1068</v>
      </c>
      <c r="B255" s="2" t="s">
        <v>1069</v>
      </c>
      <c r="C255" s="2" t="s">
        <v>13</v>
      </c>
      <c r="D255" s="3">
        <v>27770</v>
      </c>
      <c r="E255" s="2" t="s">
        <v>1070</v>
      </c>
      <c r="F255" s="2" t="s">
        <v>1071</v>
      </c>
      <c r="G255" s="2" t="s">
        <v>54</v>
      </c>
      <c r="H255" s="2" t="s">
        <v>17</v>
      </c>
      <c r="I255" s="2" t="s">
        <v>18</v>
      </c>
      <c r="J255" s="2" t="s">
        <v>25</v>
      </c>
      <c r="K255" s="2" t="str">
        <f>_xlfn.XLOOKUP(TRIM(Table1[[#This Row],[Membership]]),Sheet2!$A$2:$A$7,Sheet2!$B$2:$B$7,"Checkmanually")</f>
        <v>Silver</v>
      </c>
      <c r="L255" s="3">
        <v>44722</v>
      </c>
    </row>
    <row r="256" spans="1:12" x14ac:dyDescent="0.25">
      <c r="A256" s="2" t="s">
        <v>1072</v>
      </c>
      <c r="B256" s="2" t="s">
        <v>1073</v>
      </c>
      <c r="C256" s="2" t="s">
        <v>33</v>
      </c>
      <c r="D256" s="3">
        <v>32348</v>
      </c>
      <c r="E256" s="2" t="s">
        <v>1074</v>
      </c>
      <c r="F256" s="2" t="s">
        <v>1075</v>
      </c>
      <c r="G256" s="2" t="s">
        <v>131</v>
      </c>
      <c r="H256" s="2" t="s">
        <v>91</v>
      </c>
      <c r="I256" s="2" t="s">
        <v>18</v>
      </c>
      <c r="J256" s="2" t="s">
        <v>19</v>
      </c>
      <c r="K256" s="2" t="str">
        <f>_xlfn.XLOOKUP(TRIM(Table1[[#This Row],[Membership]]),Sheet2!$A$2:$A$7,Sheet2!$B$2:$B$7,"Checkmanually")</f>
        <v>Bronze</v>
      </c>
      <c r="L256" s="3">
        <v>44143</v>
      </c>
    </row>
    <row r="257" spans="1:12" x14ac:dyDescent="0.25">
      <c r="A257" s="2" t="s">
        <v>1076</v>
      </c>
      <c r="B257" s="2" t="s">
        <v>1077</v>
      </c>
      <c r="C257" s="2" t="s">
        <v>13</v>
      </c>
      <c r="D257" s="3">
        <v>37090</v>
      </c>
      <c r="E257" s="2" t="s">
        <v>1078</v>
      </c>
      <c r="F257" s="2" t="s">
        <v>1079</v>
      </c>
      <c r="G257" s="2" t="s">
        <v>63</v>
      </c>
      <c r="H257" s="2" t="s">
        <v>17</v>
      </c>
      <c r="I257" s="2" t="s">
        <v>18</v>
      </c>
      <c r="J257" s="2" t="s">
        <v>25</v>
      </c>
      <c r="K257" s="2" t="str">
        <f>_xlfn.XLOOKUP(TRIM(Table1[[#This Row],[Membership]]),Sheet2!$A$2:$A$7,Sheet2!$B$2:$B$7,"Checkmanually")</f>
        <v>Silver</v>
      </c>
      <c r="L257" s="3">
        <v>44541</v>
      </c>
    </row>
    <row r="258" spans="1:12" x14ac:dyDescent="0.25">
      <c r="A258" s="2" t="s">
        <v>1080</v>
      </c>
      <c r="B258" s="2" t="s">
        <v>1081</v>
      </c>
      <c r="C258" s="2" t="s">
        <v>13</v>
      </c>
      <c r="D258" s="3">
        <v>31112</v>
      </c>
      <c r="E258" s="2" t="s">
        <v>1082</v>
      </c>
      <c r="F258" s="2" t="s">
        <v>1083</v>
      </c>
      <c r="G258" s="2" t="s">
        <v>90</v>
      </c>
      <c r="H258" s="2" t="s">
        <v>91</v>
      </c>
      <c r="I258" s="2" t="s">
        <v>18</v>
      </c>
      <c r="J258" s="2" t="s">
        <v>25</v>
      </c>
      <c r="K258" s="2" t="str">
        <f>_xlfn.XLOOKUP(TRIM(Table1[[#This Row],[Membership]]),Sheet2!$A$2:$A$7,Sheet2!$B$2:$B$7,"Checkmanually")</f>
        <v>Silver</v>
      </c>
      <c r="L258" s="3">
        <v>44846</v>
      </c>
    </row>
    <row r="259" spans="1:12" x14ac:dyDescent="0.25">
      <c r="A259" s="2" t="s">
        <v>1084</v>
      </c>
      <c r="B259" s="2" t="s">
        <v>1085</v>
      </c>
      <c r="C259" s="2" t="s">
        <v>1086</v>
      </c>
      <c r="D259" s="3">
        <v>36393</v>
      </c>
      <c r="E259" s="2" t="s">
        <v>1087</v>
      </c>
      <c r="F259" s="2" t="s">
        <v>1088</v>
      </c>
      <c r="G259" s="2" t="s">
        <v>131</v>
      </c>
      <c r="H259" s="2" t="s">
        <v>91</v>
      </c>
      <c r="I259" s="2" t="s">
        <v>18</v>
      </c>
      <c r="J259" s="2" t="s">
        <v>25</v>
      </c>
      <c r="K259" s="2" t="str">
        <f>_xlfn.XLOOKUP(TRIM(Table1[[#This Row],[Membership]]),Sheet2!$A$2:$A$7,Sheet2!$B$2:$B$7,"Checkmanually")</f>
        <v>Silver</v>
      </c>
      <c r="L259" s="3">
        <v>44399</v>
      </c>
    </row>
    <row r="260" spans="1:12" x14ac:dyDescent="0.25">
      <c r="A260" s="2" t="s">
        <v>1089</v>
      </c>
      <c r="B260" s="2" t="s">
        <v>1090</v>
      </c>
      <c r="C260" s="2" t="s">
        <v>33</v>
      </c>
      <c r="D260" s="3">
        <v>28793</v>
      </c>
      <c r="E260" s="2" t="s">
        <v>1091</v>
      </c>
      <c r="F260" s="2" t="s">
        <v>1092</v>
      </c>
      <c r="G260" s="2" t="s">
        <v>228</v>
      </c>
      <c r="H260" s="2" t="s">
        <v>17</v>
      </c>
      <c r="I260" s="2" t="s">
        <v>18</v>
      </c>
      <c r="J260" s="2" t="s">
        <v>25</v>
      </c>
      <c r="K260" s="2" t="str">
        <f>_xlfn.XLOOKUP(TRIM(Table1[[#This Row],[Membership]]),Sheet2!$A$2:$A$7,Sheet2!$B$2:$B$7,"Checkmanually")</f>
        <v>Silver</v>
      </c>
      <c r="L260" s="3">
        <v>45744</v>
      </c>
    </row>
    <row r="261" spans="1:12" x14ac:dyDescent="0.25">
      <c r="A261" s="2" t="s">
        <v>1093</v>
      </c>
      <c r="B261" s="2" t="s">
        <v>1094</v>
      </c>
      <c r="C261" s="2" t="s">
        <v>13</v>
      </c>
      <c r="D261" s="3">
        <v>36531</v>
      </c>
      <c r="E261" s="2" t="s">
        <v>1095</v>
      </c>
      <c r="F261" s="2" t="s">
        <v>1096</v>
      </c>
      <c r="G261" s="2" t="s">
        <v>63</v>
      </c>
      <c r="H261" s="2" t="s">
        <v>17</v>
      </c>
      <c r="I261" s="2" t="s">
        <v>18</v>
      </c>
      <c r="J261" s="2" t="s">
        <v>25</v>
      </c>
      <c r="K261" s="2" t="str">
        <f>_xlfn.XLOOKUP(TRIM(Table1[[#This Row],[Membership]]),Sheet2!$A$2:$A$7,Sheet2!$B$2:$B$7,"Checkmanually")</f>
        <v>Silver</v>
      </c>
      <c r="L261" s="3">
        <v>45201</v>
      </c>
    </row>
    <row r="262" spans="1:12" x14ac:dyDescent="0.25">
      <c r="A262" s="2" t="s">
        <v>1097</v>
      </c>
      <c r="B262" s="2" t="s">
        <v>1098</v>
      </c>
      <c r="C262" s="2" t="s">
        <v>13</v>
      </c>
      <c r="D262" s="3">
        <v>23314</v>
      </c>
      <c r="E262" s="2" t="s">
        <v>1099</v>
      </c>
      <c r="F262" s="2" t="s">
        <v>1100</v>
      </c>
      <c r="G262" s="2" t="s">
        <v>30</v>
      </c>
      <c r="H262" s="2" t="s">
        <v>17</v>
      </c>
      <c r="I262" s="2" t="s">
        <v>18</v>
      </c>
      <c r="J262" s="2" t="s">
        <v>19</v>
      </c>
      <c r="K262" s="2" t="str">
        <f>_xlfn.XLOOKUP(TRIM(Table1[[#This Row],[Membership]]),Sheet2!$A$2:$A$7,Sheet2!$B$2:$B$7,"Checkmanually")</f>
        <v>Bronze</v>
      </c>
      <c r="L262" s="3">
        <v>43586</v>
      </c>
    </row>
    <row r="263" spans="1:12" x14ac:dyDescent="0.25">
      <c r="A263" s="2" t="s">
        <v>1101</v>
      </c>
      <c r="B263" s="2" t="s">
        <v>1102</v>
      </c>
      <c r="C263" s="2" t="s">
        <v>33</v>
      </c>
      <c r="D263" s="3">
        <v>26533</v>
      </c>
      <c r="E263" s="2" t="s">
        <v>1103</v>
      </c>
      <c r="F263" s="2" t="s">
        <v>1104</v>
      </c>
      <c r="G263" s="2" t="s">
        <v>84</v>
      </c>
      <c r="H263" s="2" t="s">
        <v>85</v>
      </c>
      <c r="I263" s="2" t="s">
        <v>18</v>
      </c>
      <c r="J263" s="2" t="s">
        <v>25</v>
      </c>
      <c r="K263" s="2" t="str">
        <f>_xlfn.XLOOKUP(TRIM(Table1[[#This Row],[Membership]]),Sheet2!$A$2:$A$7,Sheet2!$B$2:$B$7,"Checkmanually")</f>
        <v>Silver</v>
      </c>
      <c r="L263" s="3">
        <v>45866</v>
      </c>
    </row>
    <row r="264" spans="1:12" x14ac:dyDescent="0.25">
      <c r="A264" s="2" t="s">
        <v>1105</v>
      </c>
      <c r="B264" s="2" t="s">
        <v>1106</v>
      </c>
      <c r="C264" s="2" t="s">
        <v>13</v>
      </c>
      <c r="D264" s="3">
        <v>24607</v>
      </c>
      <c r="E264" s="2" t="s">
        <v>1107</v>
      </c>
      <c r="F264" s="2" t="s">
        <v>1108</v>
      </c>
      <c r="G264" s="2" t="s">
        <v>30</v>
      </c>
      <c r="H264" s="2" t="s">
        <v>17</v>
      </c>
      <c r="I264" s="2" t="s">
        <v>18</v>
      </c>
      <c r="J264" s="2" t="s">
        <v>183</v>
      </c>
      <c r="K264" s="2" t="str">
        <f>_xlfn.XLOOKUP(TRIM(Table1[[#This Row],[Membership]]),Sheet2!$A$2:$A$7,Sheet2!$B$2:$B$7,"Checkmanually")</f>
        <v>Gold</v>
      </c>
      <c r="L264" s="3">
        <v>46034</v>
      </c>
    </row>
    <row r="265" spans="1:12" x14ac:dyDescent="0.25">
      <c r="A265" s="2" t="s">
        <v>1109</v>
      </c>
      <c r="B265" s="2" t="s">
        <v>1110</v>
      </c>
      <c r="C265" s="2" t="s">
        <v>13</v>
      </c>
      <c r="D265" s="3">
        <v>29903</v>
      </c>
      <c r="E265" s="2" t="s">
        <v>1111</v>
      </c>
      <c r="F265" s="2" t="s">
        <v>1112</v>
      </c>
      <c r="G265" s="2" t="s">
        <v>30</v>
      </c>
      <c r="H265" s="2" t="s">
        <v>17</v>
      </c>
      <c r="I265" s="2" t="s">
        <v>18</v>
      </c>
      <c r="J265" s="2" t="s">
        <v>183</v>
      </c>
      <c r="K265" s="2" t="str">
        <f>_xlfn.XLOOKUP(TRIM(Table1[[#This Row],[Membership]]),Sheet2!$A$2:$A$7,Sheet2!$B$2:$B$7,"Checkmanually")</f>
        <v>Gold</v>
      </c>
      <c r="L265" s="3">
        <v>44255</v>
      </c>
    </row>
    <row r="266" spans="1:12" x14ac:dyDescent="0.25">
      <c r="A266" s="2" t="s">
        <v>1113</v>
      </c>
      <c r="B266" s="2" t="s">
        <v>1114</v>
      </c>
      <c r="C266" s="2" t="s">
        <v>33</v>
      </c>
      <c r="D266" s="3">
        <v>39093</v>
      </c>
      <c r="E266" s="2" t="s">
        <v>1115</v>
      </c>
      <c r="F266" s="2" t="s">
        <v>1116</v>
      </c>
      <c r="G266" s="2" t="s">
        <v>131</v>
      </c>
      <c r="H266" s="2" t="s">
        <v>91</v>
      </c>
      <c r="I266" s="2" t="s">
        <v>18</v>
      </c>
      <c r="J266" s="2" t="s">
        <v>19</v>
      </c>
      <c r="K266" s="2" t="str">
        <f>_xlfn.XLOOKUP(TRIM(Table1[[#This Row],[Membership]]),Sheet2!$A$2:$A$7,Sheet2!$B$2:$B$7,"Checkmanually")</f>
        <v>Bronze</v>
      </c>
      <c r="L266" s="3">
        <v>45785</v>
      </c>
    </row>
    <row r="267" spans="1:12" x14ac:dyDescent="0.25">
      <c r="A267" s="2" t="s">
        <v>1117</v>
      </c>
      <c r="B267" s="2" t="s">
        <v>1118</v>
      </c>
      <c r="C267" s="2" t="s">
        <v>13</v>
      </c>
      <c r="D267" s="3">
        <v>24981</v>
      </c>
      <c r="E267" s="2" t="s">
        <v>1119</v>
      </c>
      <c r="F267" s="2" t="s">
        <v>1120</v>
      </c>
      <c r="G267" s="2" t="s">
        <v>84</v>
      </c>
      <c r="H267" s="2" t="s">
        <v>85</v>
      </c>
      <c r="I267" s="2" t="s">
        <v>18</v>
      </c>
      <c r="J267" s="2" t="s">
        <v>19</v>
      </c>
      <c r="K267" s="2" t="str">
        <f>_xlfn.XLOOKUP(TRIM(Table1[[#This Row],[Membership]]),Sheet2!$A$2:$A$7,Sheet2!$B$2:$B$7,"Checkmanually")</f>
        <v>Bronze</v>
      </c>
      <c r="L267" s="3">
        <v>44729</v>
      </c>
    </row>
    <row r="268" spans="1:12" x14ac:dyDescent="0.25">
      <c r="A268" s="2" t="s">
        <v>1121</v>
      </c>
      <c r="B268" s="2" t="s">
        <v>1122</v>
      </c>
      <c r="C268" s="2" t="s">
        <v>33</v>
      </c>
      <c r="D268" s="3">
        <v>36992</v>
      </c>
      <c r="E268" s="2" t="s">
        <v>1123</v>
      </c>
      <c r="F268" s="2" t="s">
        <v>1124</v>
      </c>
      <c r="G268" s="2" t="s">
        <v>54</v>
      </c>
      <c r="H268" s="2" t="s">
        <v>17</v>
      </c>
      <c r="I268" s="2" t="s">
        <v>18</v>
      </c>
      <c r="J268" s="2" t="s">
        <v>25</v>
      </c>
      <c r="K268" s="2" t="str">
        <f>_xlfn.XLOOKUP(TRIM(Table1[[#This Row],[Membership]]),Sheet2!$A$2:$A$7,Sheet2!$B$2:$B$7,"Checkmanually")</f>
        <v>Silver</v>
      </c>
      <c r="L268" s="3">
        <v>45505</v>
      </c>
    </row>
    <row r="269" spans="1:12" x14ac:dyDescent="0.25">
      <c r="A269" s="2" t="s">
        <v>1125</v>
      </c>
      <c r="B269" s="2" t="s">
        <v>1126</v>
      </c>
      <c r="C269" s="2" t="s">
        <v>33</v>
      </c>
      <c r="D269" s="3">
        <v>35209</v>
      </c>
      <c r="E269" s="2" t="s">
        <v>1127</v>
      </c>
      <c r="F269" s="2" t="s">
        <v>1128</v>
      </c>
      <c r="G269" s="2" t="s">
        <v>90</v>
      </c>
      <c r="H269" s="2" t="s">
        <v>91</v>
      </c>
      <c r="I269" s="2" t="s">
        <v>18</v>
      </c>
      <c r="J269" s="2" t="s">
        <v>19</v>
      </c>
      <c r="K269" s="2" t="str">
        <f>_xlfn.XLOOKUP(TRIM(Table1[[#This Row],[Membership]]),Sheet2!$A$2:$A$7,Sheet2!$B$2:$B$7,"Checkmanually")</f>
        <v>Bronze</v>
      </c>
      <c r="L269" s="3">
        <v>44496</v>
      </c>
    </row>
    <row r="270" spans="1:12" x14ac:dyDescent="0.25">
      <c r="A270" s="2" t="s">
        <v>1129</v>
      </c>
      <c r="B270" s="2" t="s">
        <v>1130</v>
      </c>
      <c r="C270" s="2" t="s">
        <v>33</v>
      </c>
      <c r="D270" s="3">
        <v>33776</v>
      </c>
      <c r="E270" s="2" t="s">
        <v>1131</v>
      </c>
      <c r="F270" s="2" t="s">
        <v>1132</v>
      </c>
      <c r="G270" s="2" t="s">
        <v>54</v>
      </c>
      <c r="H270" s="2" t="s">
        <v>17</v>
      </c>
      <c r="I270" s="2" t="s">
        <v>18</v>
      </c>
      <c r="J270" s="2" t="s">
        <v>25</v>
      </c>
      <c r="K270" s="2" t="str">
        <f>_xlfn.XLOOKUP(TRIM(Table1[[#This Row],[Membership]]),Sheet2!$A$2:$A$7,Sheet2!$B$2:$B$7,"Checkmanually")</f>
        <v>Silver</v>
      </c>
      <c r="L270" s="3">
        <v>43959</v>
      </c>
    </row>
    <row r="271" spans="1:12" x14ac:dyDescent="0.25">
      <c r="A271" s="2" t="s">
        <v>1133</v>
      </c>
      <c r="B271" s="2" t="s">
        <v>1134</v>
      </c>
      <c r="C271" s="2" t="s">
        <v>13</v>
      </c>
      <c r="D271" s="3">
        <v>24643</v>
      </c>
      <c r="E271" s="2" t="s">
        <v>1135</v>
      </c>
      <c r="F271" s="2" t="s">
        <v>1136</v>
      </c>
      <c r="G271" s="2" t="s">
        <v>84</v>
      </c>
      <c r="H271" s="2" t="s">
        <v>85</v>
      </c>
      <c r="I271" s="2" t="s">
        <v>18</v>
      </c>
      <c r="J271" s="2" t="s">
        <v>183</v>
      </c>
      <c r="K271" s="2" t="str">
        <f>_xlfn.XLOOKUP(TRIM(Table1[[#This Row],[Membership]]),Sheet2!$A$2:$A$7,Sheet2!$B$2:$B$7,"Checkmanually")</f>
        <v>Gold</v>
      </c>
      <c r="L271" s="3">
        <v>45466</v>
      </c>
    </row>
    <row r="272" spans="1:12" x14ac:dyDescent="0.25">
      <c r="A272" s="2" t="s">
        <v>1137</v>
      </c>
      <c r="B272" s="2" t="s">
        <v>1138</v>
      </c>
      <c r="C272" s="2" t="s">
        <v>1139</v>
      </c>
      <c r="D272" s="3">
        <v>31711</v>
      </c>
      <c r="E272" s="2" t="s">
        <v>1140</v>
      </c>
      <c r="F272" s="2" t="s">
        <v>1141</v>
      </c>
      <c r="G272" s="2" t="s">
        <v>16</v>
      </c>
      <c r="H272" s="2" t="s">
        <v>17</v>
      </c>
      <c r="I272" s="2" t="s">
        <v>18</v>
      </c>
      <c r="J272" s="2" t="s">
        <v>25</v>
      </c>
      <c r="K272" s="2" t="str">
        <f>_xlfn.XLOOKUP(TRIM(Table1[[#This Row],[Membership]]),Sheet2!$A$2:$A$7,Sheet2!$B$2:$B$7,"Checkmanually")</f>
        <v>Silver</v>
      </c>
      <c r="L272" s="3">
        <v>44492</v>
      </c>
    </row>
    <row r="273" spans="1:12" x14ac:dyDescent="0.25">
      <c r="A273" s="2" t="s">
        <v>1142</v>
      </c>
      <c r="B273" s="2" t="s">
        <v>1143</v>
      </c>
      <c r="C273" s="2" t="s">
        <v>33</v>
      </c>
      <c r="D273" s="3">
        <v>37706</v>
      </c>
      <c r="E273" s="2" t="s">
        <v>1144</v>
      </c>
      <c r="F273" s="2" t="s">
        <v>1145</v>
      </c>
      <c r="G273" s="2" t="s">
        <v>131</v>
      </c>
      <c r="H273" s="2" t="s">
        <v>91</v>
      </c>
      <c r="I273" s="2" t="s">
        <v>18</v>
      </c>
      <c r="J273" s="2" t="s">
        <v>19</v>
      </c>
      <c r="K273" s="2" t="str">
        <f>_xlfn.XLOOKUP(TRIM(Table1[[#This Row],[Membership]]),Sheet2!$A$2:$A$7,Sheet2!$B$2:$B$7,"Checkmanually")</f>
        <v>Bronze</v>
      </c>
      <c r="L273" s="3">
        <v>44328</v>
      </c>
    </row>
    <row r="274" spans="1:12" x14ac:dyDescent="0.25">
      <c r="A274" s="2" t="s">
        <v>1146</v>
      </c>
      <c r="B274" s="2" t="s">
        <v>1147</v>
      </c>
      <c r="C274" s="2" t="s">
        <v>13</v>
      </c>
      <c r="D274" s="3">
        <v>24649</v>
      </c>
      <c r="E274" s="2" t="s">
        <v>1148</v>
      </c>
      <c r="F274" s="2" t="s">
        <v>1149</v>
      </c>
      <c r="G274" s="2" t="s">
        <v>121</v>
      </c>
      <c r="H274" s="2" t="s">
        <v>122</v>
      </c>
      <c r="I274" s="2" t="s">
        <v>18</v>
      </c>
      <c r="J274" s="2" t="s">
        <v>1150</v>
      </c>
      <c r="K274" s="2" t="str">
        <f>_xlfn.XLOOKUP(TRIM(Table1[[#This Row],[Membership]]),Sheet2!$A$2:$A$7,Sheet2!$B$2:$B$7,"Checkmanually")</f>
        <v>Bronze</v>
      </c>
      <c r="L274" s="3">
        <v>43730</v>
      </c>
    </row>
    <row r="275" spans="1:12" x14ac:dyDescent="0.25">
      <c r="A275" s="2" t="s">
        <v>1151</v>
      </c>
      <c r="B275" s="2" t="s">
        <v>1152</v>
      </c>
      <c r="C275" s="2" t="s">
        <v>33</v>
      </c>
      <c r="D275" s="3">
        <v>38894</v>
      </c>
      <c r="E275" s="2" t="s">
        <v>1153</v>
      </c>
      <c r="F275" s="2" t="s">
        <v>1154</v>
      </c>
      <c r="G275" s="2" t="s">
        <v>121</v>
      </c>
      <c r="H275" s="2" t="s">
        <v>122</v>
      </c>
      <c r="I275" s="2" t="s">
        <v>18</v>
      </c>
      <c r="J275" s="2" t="s">
        <v>19</v>
      </c>
      <c r="K275" s="2" t="str">
        <f>_xlfn.XLOOKUP(TRIM(Table1[[#This Row],[Membership]]),Sheet2!$A$2:$A$7,Sheet2!$B$2:$B$7,"Checkmanually")</f>
        <v>Bronze</v>
      </c>
      <c r="L275" s="3">
        <v>44702</v>
      </c>
    </row>
    <row r="276" spans="1:12" x14ac:dyDescent="0.25">
      <c r="A276" s="2" t="s">
        <v>1155</v>
      </c>
      <c r="B276" s="2" t="s">
        <v>1156</v>
      </c>
      <c r="C276" s="2" t="s">
        <v>13</v>
      </c>
      <c r="D276" s="3">
        <v>32752</v>
      </c>
      <c r="E276" s="2" t="s">
        <v>1157</v>
      </c>
      <c r="F276" s="2" t="s">
        <v>1158</v>
      </c>
      <c r="G276" s="2" t="s">
        <v>131</v>
      </c>
      <c r="H276" s="2" t="s">
        <v>91</v>
      </c>
      <c r="I276" s="2" t="s">
        <v>18</v>
      </c>
      <c r="J276" s="2" t="s">
        <v>183</v>
      </c>
      <c r="K276" s="2" t="str">
        <f>_xlfn.XLOOKUP(TRIM(Table1[[#This Row],[Membership]]),Sheet2!$A$2:$A$7,Sheet2!$B$2:$B$7,"Checkmanually")</f>
        <v>Gold</v>
      </c>
      <c r="L276" s="3">
        <v>43872</v>
      </c>
    </row>
    <row r="277" spans="1:12" x14ac:dyDescent="0.25">
      <c r="A277" s="2" t="s">
        <v>1159</v>
      </c>
      <c r="B277" s="2" t="s">
        <v>1160</v>
      </c>
      <c r="C277" s="2" t="s">
        <v>13</v>
      </c>
      <c r="D277" s="3">
        <v>30072</v>
      </c>
      <c r="E277" s="2" t="s">
        <v>1161</v>
      </c>
      <c r="F277" s="2" t="s">
        <v>1162</v>
      </c>
      <c r="G277" s="2" t="s">
        <v>121</v>
      </c>
      <c r="H277" s="2" t="s">
        <v>122</v>
      </c>
      <c r="I277" s="2" t="s">
        <v>18</v>
      </c>
      <c r="J277" s="2" t="s">
        <v>19</v>
      </c>
      <c r="K277" s="2" t="str">
        <f>_xlfn.XLOOKUP(TRIM(Table1[[#This Row],[Membership]]),Sheet2!$A$2:$A$7,Sheet2!$B$2:$B$7,"Checkmanually")</f>
        <v>Bronze</v>
      </c>
      <c r="L277" s="3">
        <v>43482</v>
      </c>
    </row>
    <row r="278" spans="1:12" x14ac:dyDescent="0.25">
      <c r="A278" s="2" t="s">
        <v>1163</v>
      </c>
      <c r="B278" s="2" t="s">
        <v>1164</v>
      </c>
      <c r="C278" s="2" t="s">
        <v>33</v>
      </c>
      <c r="D278" s="3">
        <v>36100</v>
      </c>
      <c r="E278" s="2" t="s">
        <v>1165</v>
      </c>
      <c r="F278" s="2" t="s">
        <v>1166</v>
      </c>
      <c r="G278" s="2" t="s">
        <v>84</v>
      </c>
      <c r="H278" s="2" t="s">
        <v>85</v>
      </c>
      <c r="I278" s="2" t="s">
        <v>18</v>
      </c>
      <c r="J278" s="2" t="s">
        <v>183</v>
      </c>
      <c r="K278" s="2" t="str">
        <f>_xlfn.XLOOKUP(TRIM(Table1[[#This Row],[Membership]]),Sheet2!$A$2:$A$7,Sheet2!$B$2:$B$7,"Checkmanually")</f>
        <v>Gold</v>
      </c>
      <c r="L278" s="3">
        <v>43210</v>
      </c>
    </row>
    <row r="279" spans="1:12" x14ac:dyDescent="0.25">
      <c r="A279" s="2" t="s">
        <v>1167</v>
      </c>
      <c r="B279" s="2" t="s">
        <v>1168</v>
      </c>
      <c r="C279" s="2" t="s">
        <v>33</v>
      </c>
      <c r="D279" s="3">
        <v>27726</v>
      </c>
      <c r="E279" s="2" t="s">
        <v>1169</v>
      </c>
      <c r="F279" s="2" t="s">
        <v>1170</v>
      </c>
      <c r="G279" s="2" t="s">
        <v>131</v>
      </c>
      <c r="H279" s="2" t="s">
        <v>91</v>
      </c>
      <c r="I279" s="2" t="s">
        <v>18</v>
      </c>
      <c r="J279" s="2" t="s">
        <v>25</v>
      </c>
      <c r="K279" s="2" t="str">
        <f>_xlfn.XLOOKUP(TRIM(Table1[[#This Row],[Membership]]),Sheet2!$A$2:$A$7,Sheet2!$B$2:$B$7,"Checkmanually")</f>
        <v>Silver</v>
      </c>
      <c r="L279" s="3">
        <v>44293</v>
      </c>
    </row>
    <row r="280" spans="1:12" x14ac:dyDescent="0.25">
      <c r="A280" s="2" t="s">
        <v>1171</v>
      </c>
      <c r="B280" s="2" t="s">
        <v>1172</v>
      </c>
      <c r="C280" s="2" t="s">
        <v>33</v>
      </c>
      <c r="D280" s="3">
        <v>37081</v>
      </c>
      <c r="E280" s="2" t="s">
        <v>1173</v>
      </c>
      <c r="F280" s="2" t="s">
        <v>1174</v>
      </c>
      <c r="G280" s="2" t="s">
        <v>90</v>
      </c>
      <c r="H280" s="2" t="s">
        <v>91</v>
      </c>
      <c r="I280" s="2" t="s">
        <v>18</v>
      </c>
      <c r="J280" s="2" t="s">
        <v>183</v>
      </c>
      <c r="K280" s="2" t="str">
        <f>_xlfn.XLOOKUP(TRIM(Table1[[#This Row],[Membership]]),Sheet2!$A$2:$A$7,Sheet2!$B$2:$B$7,"Checkmanually")</f>
        <v>Gold</v>
      </c>
      <c r="L280" s="3">
        <v>43146</v>
      </c>
    </row>
    <row r="281" spans="1:12" x14ac:dyDescent="0.25">
      <c r="A281" s="2" t="s">
        <v>1175</v>
      </c>
      <c r="B281" s="2" t="s">
        <v>1176</v>
      </c>
      <c r="C281" s="2" t="s">
        <v>33</v>
      </c>
      <c r="D281" s="3">
        <v>23718</v>
      </c>
      <c r="E281" s="2" t="s">
        <v>1177</v>
      </c>
      <c r="F281" s="2" t="s">
        <v>1178</v>
      </c>
      <c r="G281" s="2" t="s">
        <v>131</v>
      </c>
      <c r="H281" s="2" t="s">
        <v>91</v>
      </c>
      <c r="I281" s="2" t="s">
        <v>18</v>
      </c>
      <c r="J281" s="2" t="s">
        <v>25</v>
      </c>
      <c r="K281" s="2" t="str">
        <f>_xlfn.XLOOKUP(TRIM(Table1[[#This Row],[Membership]]),Sheet2!$A$2:$A$7,Sheet2!$B$2:$B$7,"Checkmanually")</f>
        <v>Silver</v>
      </c>
      <c r="L281" s="3">
        <v>43629</v>
      </c>
    </row>
    <row r="282" spans="1:12" x14ac:dyDescent="0.25">
      <c r="A282" s="2" t="s">
        <v>1179</v>
      </c>
      <c r="B282" s="2" t="s">
        <v>1180</v>
      </c>
      <c r="C282" s="2" t="s">
        <v>13</v>
      </c>
      <c r="D282" s="3">
        <v>26855</v>
      </c>
      <c r="E282" s="2" t="s">
        <v>1181</v>
      </c>
      <c r="F282" s="2" t="s">
        <v>1182</v>
      </c>
      <c r="G282" s="2" t="s">
        <v>63</v>
      </c>
      <c r="H282" s="2" t="s">
        <v>17</v>
      </c>
      <c r="I282" s="2" t="s">
        <v>18</v>
      </c>
      <c r="J282" s="2" t="s">
        <v>25</v>
      </c>
      <c r="K282" s="2" t="str">
        <f>_xlfn.XLOOKUP(TRIM(Table1[[#This Row],[Membership]]),Sheet2!$A$2:$A$7,Sheet2!$B$2:$B$7,"Checkmanually")</f>
        <v>Silver</v>
      </c>
      <c r="L282" s="3">
        <v>43633</v>
      </c>
    </row>
    <row r="283" spans="1:12" x14ac:dyDescent="0.25">
      <c r="A283" s="2" t="s">
        <v>1183</v>
      </c>
      <c r="B283" s="2" t="s">
        <v>1184</v>
      </c>
      <c r="C283" s="2" t="s">
        <v>13</v>
      </c>
      <c r="D283" s="3">
        <v>38934</v>
      </c>
      <c r="E283" s="2" t="s">
        <v>1185</v>
      </c>
      <c r="F283" s="2" t="s">
        <v>1186</v>
      </c>
      <c r="G283" s="2" t="s">
        <v>90</v>
      </c>
      <c r="H283" s="2" t="s">
        <v>91</v>
      </c>
      <c r="I283" s="2" t="s">
        <v>18</v>
      </c>
      <c r="J283" s="2" t="s">
        <v>183</v>
      </c>
      <c r="K283" s="2" t="str">
        <f>_xlfn.XLOOKUP(TRIM(Table1[[#This Row],[Membership]]),Sheet2!$A$2:$A$7,Sheet2!$B$2:$B$7,"Checkmanually")</f>
        <v>Gold</v>
      </c>
      <c r="L283" s="3">
        <v>44372</v>
      </c>
    </row>
    <row r="284" spans="1:12" x14ac:dyDescent="0.25">
      <c r="A284" s="2" t="s">
        <v>1187</v>
      </c>
      <c r="B284" s="2" t="s">
        <v>1188</v>
      </c>
      <c r="C284" s="2" t="s">
        <v>1189</v>
      </c>
      <c r="D284" s="3">
        <v>20333</v>
      </c>
      <c r="E284" s="2" t="s">
        <v>1190</v>
      </c>
      <c r="F284" s="2" t="s">
        <v>1191</v>
      </c>
      <c r="G284" s="2" t="s">
        <v>90</v>
      </c>
      <c r="H284" s="2" t="s">
        <v>91</v>
      </c>
      <c r="I284" s="2" t="s">
        <v>18</v>
      </c>
      <c r="J284" s="2" t="s">
        <v>25</v>
      </c>
      <c r="K284" s="2" t="str">
        <f>_xlfn.XLOOKUP(TRIM(Table1[[#This Row],[Membership]]),Sheet2!$A$2:$A$7,Sheet2!$B$2:$B$7,"Checkmanually")</f>
        <v>Silver</v>
      </c>
      <c r="L284" s="3">
        <v>43685</v>
      </c>
    </row>
    <row r="285" spans="1:12" x14ac:dyDescent="0.25">
      <c r="A285" s="2" t="s">
        <v>1192</v>
      </c>
      <c r="B285" s="2" t="s">
        <v>1193</v>
      </c>
      <c r="C285" s="2" t="s">
        <v>13</v>
      </c>
      <c r="D285" s="3">
        <v>28178</v>
      </c>
      <c r="E285" s="2" t="s">
        <v>1194</v>
      </c>
      <c r="F285" s="2" t="s">
        <v>1195</v>
      </c>
      <c r="G285" s="2" t="s">
        <v>131</v>
      </c>
      <c r="H285" s="2" t="s">
        <v>91</v>
      </c>
      <c r="I285" s="2" t="s">
        <v>18</v>
      </c>
      <c r="J285" s="2" t="s">
        <v>19</v>
      </c>
      <c r="K285" s="2" t="str">
        <f>_xlfn.XLOOKUP(TRIM(Table1[[#This Row],[Membership]]),Sheet2!$A$2:$A$7,Sheet2!$B$2:$B$7,"Checkmanually")</f>
        <v>Bronze</v>
      </c>
      <c r="L285" s="3">
        <v>45254</v>
      </c>
    </row>
    <row r="286" spans="1:12" x14ac:dyDescent="0.25">
      <c r="A286" s="2" t="s">
        <v>1196</v>
      </c>
      <c r="B286" s="2" t="s">
        <v>1197</v>
      </c>
      <c r="C286" s="2" t="s">
        <v>13</v>
      </c>
      <c r="D286" s="3">
        <v>21370</v>
      </c>
      <c r="E286" s="2" t="s">
        <v>1198</v>
      </c>
      <c r="F286" s="2" t="s">
        <v>1199</v>
      </c>
      <c r="G286" s="2" t="s">
        <v>509</v>
      </c>
      <c r="H286" s="2" t="s">
        <v>510</v>
      </c>
      <c r="I286" s="2" t="s">
        <v>49</v>
      </c>
      <c r="J286" s="2" t="s">
        <v>25</v>
      </c>
      <c r="K286" s="2" t="str">
        <f>_xlfn.XLOOKUP(TRIM(Table1[[#This Row],[Membership]]),Sheet2!$A$2:$A$7,Sheet2!$B$2:$B$7,"Checkmanually")</f>
        <v>Silver</v>
      </c>
      <c r="L286" s="3">
        <v>43474</v>
      </c>
    </row>
    <row r="287" spans="1:12" x14ac:dyDescent="0.25">
      <c r="A287" s="2" t="s">
        <v>1200</v>
      </c>
      <c r="B287" s="2" t="s">
        <v>1201</v>
      </c>
      <c r="C287" s="2" t="s">
        <v>33</v>
      </c>
      <c r="D287" s="3">
        <v>29836</v>
      </c>
      <c r="E287" s="2" t="s">
        <v>1202</v>
      </c>
      <c r="F287" s="2" t="s">
        <v>1203</v>
      </c>
      <c r="G287" s="2" t="s">
        <v>90</v>
      </c>
      <c r="H287" s="2" t="s">
        <v>91</v>
      </c>
      <c r="I287" s="2" t="s">
        <v>18</v>
      </c>
      <c r="J287" s="2" t="s">
        <v>25</v>
      </c>
      <c r="K287" s="2" t="str">
        <f>_xlfn.XLOOKUP(TRIM(Table1[[#This Row],[Membership]]),Sheet2!$A$2:$A$7,Sheet2!$B$2:$B$7,"Checkmanually")</f>
        <v>Silver</v>
      </c>
      <c r="L287" s="3">
        <v>44702</v>
      </c>
    </row>
    <row r="288" spans="1:12" x14ac:dyDescent="0.25">
      <c r="A288" s="2" t="s">
        <v>1204</v>
      </c>
      <c r="B288" s="2" t="s">
        <v>1205</v>
      </c>
      <c r="C288" s="2" t="s">
        <v>33</v>
      </c>
      <c r="D288" s="3">
        <v>25974</v>
      </c>
      <c r="E288" s="2" t="s">
        <v>1206</v>
      </c>
      <c r="F288" s="2" t="s">
        <v>1207</v>
      </c>
      <c r="G288" s="2" t="s">
        <v>228</v>
      </c>
      <c r="H288" s="2" t="s">
        <v>17</v>
      </c>
      <c r="I288" s="2" t="s">
        <v>18</v>
      </c>
      <c r="J288" s="2" t="s">
        <v>25</v>
      </c>
      <c r="K288" s="2" t="str">
        <f>_xlfn.XLOOKUP(TRIM(Table1[[#This Row],[Membership]]),Sheet2!$A$2:$A$7,Sheet2!$B$2:$B$7,"Checkmanually")</f>
        <v>Silver</v>
      </c>
      <c r="L288" s="3">
        <v>45631</v>
      </c>
    </row>
    <row r="289" spans="1:12" x14ac:dyDescent="0.25">
      <c r="A289" s="2" t="s">
        <v>1208</v>
      </c>
      <c r="B289" s="2" t="s">
        <v>1209</v>
      </c>
      <c r="C289" s="2" t="s">
        <v>33</v>
      </c>
      <c r="D289" s="3">
        <v>26101</v>
      </c>
      <c r="E289" s="2" t="s">
        <v>1210</v>
      </c>
      <c r="F289" s="2" t="s">
        <v>1211</v>
      </c>
      <c r="G289" s="2" t="s">
        <v>131</v>
      </c>
      <c r="H289" s="2" t="s">
        <v>91</v>
      </c>
      <c r="I289" s="2" t="s">
        <v>18</v>
      </c>
      <c r="J289" s="2" t="s">
        <v>19</v>
      </c>
      <c r="K289" s="2" t="str">
        <f>_xlfn.XLOOKUP(TRIM(Table1[[#This Row],[Membership]]),Sheet2!$A$2:$A$7,Sheet2!$B$2:$B$7,"Checkmanually")</f>
        <v>Bronze</v>
      </c>
      <c r="L289" s="3">
        <v>45962</v>
      </c>
    </row>
    <row r="290" spans="1:12" x14ac:dyDescent="0.25">
      <c r="A290" s="2" t="s">
        <v>1212</v>
      </c>
      <c r="B290" s="2" t="s">
        <v>1213</v>
      </c>
      <c r="C290" s="2" t="s">
        <v>13</v>
      </c>
      <c r="D290" s="3">
        <v>25265</v>
      </c>
      <c r="E290" s="2" t="s">
        <v>1214</v>
      </c>
      <c r="F290" s="2" t="s">
        <v>1215</v>
      </c>
      <c r="G290" s="2" t="s">
        <v>16</v>
      </c>
      <c r="H290" s="2" t="s">
        <v>17</v>
      </c>
      <c r="I290" s="2" t="s">
        <v>18</v>
      </c>
      <c r="J290" s="2" t="s">
        <v>25</v>
      </c>
      <c r="K290" s="2" t="str">
        <f>_xlfn.XLOOKUP(TRIM(Table1[[#This Row],[Membership]]),Sheet2!$A$2:$A$7,Sheet2!$B$2:$B$7,"Checkmanually")</f>
        <v>Silver</v>
      </c>
      <c r="L290" s="3">
        <v>44222</v>
      </c>
    </row>
    <row r="291" spans="1:12" x14ac:dyDescent="0.25">
      <c r="A291" s="2" t="s">
        <v>1216</v>
      </c>
      <c r="B291" s="2" t="s">
        <v>1217</v>
      </c>
      <c r="C291" s="2" t="s">
        <v>13</v>
      </c>
      <c r="D291" s="3">
        <v>27209</v>
      </c>
      <c r="E291" s="2" t="s">
        <v>1218</v>
      </c>
      <c r="F291" s="2" t="s">
        <v>1219</v>
      </c>
      <c r="G291" s="2" t="s">
        <v>63</v>
      </c>
      <c r="H291" s="2" t="s">
        <v>17</v>
      </c>
      <c r="I291" s="2" t="s">
        <v>18</v>
      </c>
      <c r="J291" s="2" t="s">
        <v>19</v>
      </c>
      <c r="K291" s="2" t="str">
        <f>_xlfn.XLOOKUP(TRIM(Table1[[#This Row],[Membership]]),Sheet2!$A$2:$A$7,Sheet2!$B$2:$B$7,"Checkmanually")</f>
        <v>Bronze</v>
      </c>
      <c r="L291" s="3">
        <v>45122</v>
      </c>
    </row>
    <row r="292" spans="1:12" x14ac:dyDescent="0.25">
      <c r="A292" s="2" t="s">
        <v>1220</v>
      </c>
      <c r="B292" s="2" t="s">
        <v>1221</v>
      </c>
      <c r="C292" s="2" t="s">
        <v>13</v>
      </c>
      <c r="D292" s="3">
        <v>22597</v>
      </c>
      <c r="E292" s="2" t="s">
        <v>1222</v>
      </c>
      <c r="F292" s="2" t="s">
        <v>1223</v>
      </c>
      <c r="G292" s="2" t="s">
        <v>104</v>
      </c>
      <c r="H292" s="2" t="s">
        <v>105</v>
      </c>
      <c r="I292" s="2" t="s">
        <v>42</v>
      </c>
      <c r="J292" s="2" t="s">
        <v>19</v>
      </c>
      <c r="K292" s="2" t="str">
        <f>_xlfn.XLOOKUP(TRIM(Table1[[#This Row],[Membership]]),Sheet2!$A$2:$A$7,Sheet2!$B$2:$B$7,"Checkmanually")</f>
        <v>Bronze</v>
      </c>
      <c r="L292" s="3">
        <v>43531</v>
      </c>
    </row>
    <row r="293" spans="1:12" x14ac:dyDescent="0.25">
      <c r="A293" s="2" t="s">
        <v>1224</v>
      </c>
      <c r="B293" s="2" t="s">
        <v>1225</v>
      </c>
      <c r="C293" s="2" t="s">
        <v>13</v>
      </c>
      <c r="D293" s="3">
        <v>25491</v>
      </c>
      <c r="E293" s="2" t="s">
        <v>1226</v>
      </c>
      <c r="F293" s="2" t="s">
        <v>1227</v>
      </c>
      <c r="G293" s="2" t="s">
        <v>24</v>
      </c>
      <c r="H293" s="2" t="s">
        <v>17</v>
      </c>
      <c r="I293" s="2" t="s">
        <v>18</v>
      </c>
      <c r="J293" s="2" t="s">
        <v>25</v>
      </c>
      <c r="K293" s="2" t="str">
        <f>_xlfn.XLOOKUP(TRIM(Table1[[#This Row],[Membership]]),Sheet2!$A$2:$A$7,Sheet2!$B$2:$B$7,"Checkmanually")</f>
        <v>Silver</v>
      </c>
      <c r="L293" s="3">
        <v>44136</v>
      </c>
    </row>
    <row r="294" spans="1:12" x14ac:dyDescent="0.25">
      <c r="A294" s="2" t="s">
        <v>1228</v>
      </c>
      <c r="B294" s="2" t="s">
        <v>1229</v>
      </c>
      <c r="C294" s="2" t="s">
        <v>33</v>
      </c>
      <c r="D294" s="3">
        <v>35225</v>
      </c>
      <c r="E294" s="2" t="s">
        <v>1230</v>
      </c>
      <c r="F294" s="2" t="s">
        <v>1231</v>
      </c>
      <c r="G294" s="2" t="s">
        <v>90</v>
      </c>
      <c r="H294" s="2" t="s">
        <v>91</v>
      </c>
      <c r="I294" s="2"/>
      <c r="J294" s="2" t="s">
        <v>183</v>
      </c>
      <c r="K294" s="2" t="str">
        <f>_xlfn.XLOOKUP(TRIM(Table1[[#This Row],[Membership]]),Sheet2!$A$2:$A$7,Sheet2!$B$2:$B$7,"Checkmanually")</f>
        <v>Gold</v>
      </c>
      <c r="L294" s="3">
        <v>44662</v>
      </c>
    </row>
    <row r="295" spans="1:12" x14ac:dyDescent="0.25">
      <c r="A295" s="2" t="s">
        <v>1232</v>
      </c>
      <c r="B295" s="2" t="s">
        <v>1233</v>
      </c>
      <c r="C295" s="2" t="s">
        <v>33</v>
      </c>
      <c r="D295" s="3">
        <v>20441</v>
      </c>
      <c r="E295" s="2" t="s">
        <v>1234</v>
      </c>
      <c r="F295" s="2" t="s">
        <v>1235</v>
      </c>
      <c r="G295" s="2" t="s">
        <v>54</v>
      </c>
      <c r="H295" s="2" t="s">
        <v>17</v>
      </c>
      <c r="I295" s="2" t="s">
        <v>18</v>
      </c>
      <c r="J295" s="2" t="s">
        <v>25</v>
      </c>
      <c r="K295" s="2" t="str">
        <f>_xlfn.XLOOKUP(TRIM(Table1[[#This Row],[Membership]]),Sheet2!$A$2:$A$7,Sheet2!$B$2:$B$7,"Checkmanually")</f>
        <v>Silver</v>
      </c>
      <c r="L295" s="3">
        <v>44127</v>
      </c>
    </row>
    <row r="296" spans="1:12" x14ac:dyDescent="0.25">
      <c r="A296" s="2" t="s">
        <v>1236</v>
      </c>
      <c r="B296" s="2" t="s">
        <v>1237</v>
      </c>
      <c r="C296" s="2" t="s">
        <v>13</v>
      </c>
      <c r="D296" s="3">
        <v>35302</v>
      </c>
      <c r="E296" s="2" t="s">
        <v>1238</v>
      </c>
      <c r="F296" s="2" t="s">
        <v>1239</v>
      </c>
      <c r="G296" s="2" t="s">
        <v>228</v>
      </c>
      <c r="H296" s="2" t="s">
        <v>17</v>
      </c>
      <c r="I296" s="2" t="s">
        <v>18</v>
      </c>
      <c r="J296" s="2" t="s">
        <v>25</v>
      </c>
      <c r="K296" s="2" t="str">
        <f>_xlfn.XLOOKUP(TRIM(Table1[[#This Row],[Membership]]),Sheet2!$A$2:$A$7,Sheet2!$B$2:$B$7,"Checkmanually")</f>
        <v>Silver</v>
      </c>
      <c r="L296" s="3">
        <v>45086</v>
      </c>
    </row>
    <row r="297" spans="1:12" x14ac:dyDescent="0.25">
      <c r="A297" s="2" t="s">
        <v>1240</v>
      </c>
      <c r="B297" s="2" t="s">
        <v>1241</v>
      </c>
      <c r="C297" s="2" t="s">
        <v>13</v>
      </c>
      <c r="D297" s="3">
        <v>34433</v>
      </c>
      <c r="E297" s="2" t="s">
        <v>1242</v>
      </c>
      <c r="F297" s="2" t="s">
        <v>1243</v>
      </c>
      <c r="G297" s="2" t="s">
        <v>84</v>
      </c>
      <c r="H297" s="2" t="s">
        <v>85</v>
      </c>
      <c r="I297" s="2" t="s">
        <v>18</v>
      </c>
      <c r="J297" s="2" t="s">
        <v>19</v>
      </c>
      <c r="K297" s="2" t="str">
        <f>_xlfn.XLOOKUP(TRIM(Table1[[#This Row],[Membership]]),Sheet2!$A$2:$A$7,Sheet2!$B$2:$B$7,"Checkmanually")</f>
        <v>Bronze</v>
      </c>
      <c r="L297" s="3">
        <v>43675</v>
      </c>
    </row>
    <row r="298" spans="1:12" x14ac:dyDescent="0.25">
      <c r="A298" s="2" t="s">
        <v>1244</v>
      </c>
      <c r="B298" s="2" t="s">
        <v>1245</v>
      </c>
      <c r="C298" s="2" t="s">
        <v>13</v>
      </c>
      <c r="D298" s="3">
        <v>20681</v>
      </c>
      <c r="E298" s="2" t="s">
        <v>1246</v>
      </c>
      <c r="F298" s="2" t="s">
        <v>1247</v>
      </c>
      <c r="G298" s="2" t="s">
        <v>228</v>
      </c>
      <c r="H298" s="2" t="s">
        <v>17</v>
      </c>
      <c r="I298" s="2" t="s">
        <v>18</v>
      </c>
      <c r="J298" s="2" t="s">
        <v>183</v>
      </c>
      <c r="K298" s="2" t="str">
        <f>_xlfn.XLOOKUP(TRIM(Table1[[#This Row],[Membership]]),Sheet2!$A$2:$A$7,Sheet2!$B$2:$B$7,"Checkmanually")</f>
        <v>Gold</v>
      </c>
      <c r="L298" s="3">
        <v>45587</v>
      </c>
    </row>
    <row r="299" spans="1:12" x14ac:dyDescent="0.25">
      <c r="A299" s="2" t="s">
        <v>1248</v>
      </c>
      <c r="B299" s="2" t="s">
        <v>1249</v>
      </c>
      <c r="C299" s="2" t="s">
        <v>13</v>
      </c>
      <c r="D299" s="3">
        <v>32897</v>
      </c>
      <c r="E299" s="2" t="s">
        <v>1250</v>
      </c>
      <c r="F299" s="2" t="s">
        <v>1251</v>
      </c>
      <c r="G299" s="2" t="s">
        <v>63</v>
      </c>
      <c r="H299" s="2" t="s">
        <v>17</v>
      </c>
      <c r="I299" s="2" t="s">
        <v>18</v>
      </c>
      <c r="J299" s="2" t="s">
        <v>25</v>
      </c>
      <c r="K299" s="2" t="str">
        <f>_xlfn.XLOOKUP(TRIM(Table1[[#This Row],[Membership]]),Sheet2!$A$2:$A$7,Sheet2!$B$2:$B$7,"Checkmanually")</f>
        <v>Silver</v>
      </c>
      <c r="L299" s="3">
        <v>43790</v>
      </c>
    </row>
    <row r="300" spans="1:12" x14ac:dyDescent="0.25">
      <c r="A300" s="2" t="s">
        <v>1252</v>
      </c>
      <c r="B300" s="2" t="s">
        <v>1253</v>
      </c>
      <c r="C300" s="2" t="s">
        <v>33</v>
      </c>
      <c r="D300" s="3">
        <v>25119</v>
      </c>
      <c r="E300" s="2" t="s">
        <v>1254</v>
      </c>
      <c r="F300" s="2" t="s">
        <v>1255</v>
      </c>
      <c r="G300" s="2" t="s">
        <v>16</v>
      </c>
      <c r="H300" s="2" t="s">
        <v>17</v>
      </c>
      <c r="I300" s="2" t="s">
        <v>18</v>
      </c>
      <c r="J300" s="2" t="s">
        <v>19</v>
      </c>
      <c r="K300" s="2" t="str">
        <f>_xlfn.XLOOKUP(TRIM(Table1[[#This Row],[Membership]]),Sheet2!$A$2:$A$7,Sheet2!$B$2:$B$7,"Checkmanually")</f>
        <v>Bronze</v>
      </c>
      <c r="L300" s="3">
        <v>44905</v>
      </c>
    </row>
    <row r="301" spans="1:12" x14ac:dyDescent="0.25">
      <c r="A301" s="2" t="s">
        <v>1256</v>
      </c>
      <c r="B301" s="2" t="s">
        <v>1257</v>
      </c>
      <c r="C301" s="2" t="s">
        <v>13</v>
      </c>
      <c r="D301" s="3">
        <v>37532</v>
      </c>
      <c r="E301" s="2" t="s">
        <v>1258</v>
      </c>
      <c r="F301" s="2" t="s">
        <v>1259</v>
      </c>
      <c r="G301" s="2" t="s">
        <v>16</v>
      </c>
      <c r="H301" s="2" t="s">
        <v>17</v>
      </c>
      <c r="I301" s="2" t="s">
        <v>18</v>
      </c>
      <c r="J301" s="2" t="s">
        <v>19</v>
      </c>
      <c r="K301" s="2" t="str">
        <f>_xlfn.XLOOKUP(TRIM(Table1[[#This Row],[Membership]]),Sheet2!$A$2:$A$7,Sheet2!$B$2:$B$7,"Checkmanually")</f>
        <v>Bronze</v>
      </c>
      <c r="L301" s="3">
        <v>43986</v>
      </c>
    </row>
    <row r="302" spans="1:12" x14ac:dyDescent="0.25">
      <c r="A302" s="2" t="s">
        <v>1260</v>
      </c>
      <c r="B302" s="2" t="s">
        <v>1261</v>
      </c>
      <c r="C302" s="2" t="s">
        <v>33</v>
      </c>
      <c r="D302" s="3">
        <v>23458</v>
      </c>
      <c r="E302" s="2" t="s">
        <v>1262</v>
      </c>
      <c r="F302" s="2" t="s">
        <v>1263</v>
      </c>
      <c r="G302" s="2" t="s">
        <v>84</v>
      </c>
      <c r="H302" s="2" t="s">
        <v>85</v>
      </c>
      <c r="I302" s="2" t="s">
        <v>18</v>
      </c>
      <c r="J302" s="2" t="s">
        <v>19</v>
      </c>
      <c r="K302" s="2" t="str">
        <f>_xlfn.XLOOKUP(TRIM(Table1[[#This Row],[Membership]]),Sheet2!$A$2:$A$7,Sheet2!$B$2:$B$7,"Checkmanually")</f>
        <v>Bronze</v>
      </c>
      <c r="L302" s="3">
        <v>44700</v>
      </c>
    </row>
    <row r="303" spans="1:12" x14ac:dyDescent="0.25">
      <c r="A303" s="2" t="s">
        <v>1264</v>
      </c>
      <c r="B303" s="2" t="s">
        <v>1265</v>
      </c>
      <c r="C303" s="2" t="s">
        <v>33</v>
      </c>
      <c r="D303" s="3">
        <v>21684</v>
      </c>
      <c r="E303" s="2" t="s">
        <v>1266</v>
      </c>
      <c r="F303" s="2" t="s">
        <v>1267</v>
      </c>
      <c r="G303" s="2" t="s">
        <v>16</v>
      </c>
      <c r="H303" s="2" t="s">
        <v>17</v>
      </c>
      <c r="I303" s="2" t="s">
        <v>18</v>
      </c>
      <c r="J303" s="2" t="s">
        <v>19</v>
      </c>
      <c r="K303" s="2" t="str">
        <f>_xlfn.XLOOKUP(TRIM(Table1[[#This Row],[Membership]]),Sheet2!$A$2:$A$7,Sheet2!$B$2:$B$7,"Checkmanually")</f>
        <v>Bronze</v>
      </c>
      <c r="L303" s="3">
        <v>44646</v>
      </c>
    </row>
    <row r="304" spans="1:12" x14ac:dyDescent="0.25">
      <c r="A304" s="2" t="s">
        <v>1268</v>
      </c>
      <c r="B304" s="2" t="s">
        <v>1269</v>
      </c>
      <c r="C304" s="2" t="s">
        <v>13</v>
      </c>
      <c r="D304" s="3">
        <v>27906</v>
      </c>
      <c r="E304" s="2" t="s">
        <v>1270</v>
      </c>
      <c r="F304" s="2" t="s">
        <v>1271</v>
      </c>
      <c r="G304" s="2" t="s">
        <v>54</v>
      </c>
      <c r="H304" s="2" t="s">
        <v>17</v>
      </c>
      <c r="I304" s="2" t="s">
        <v>18</v>
      </c>
      <c r="J304" s="2" t="s">
        <v>25</v>
      </c>
      <c r="K304" s="2" t="str">
        <f>_xlfn.XLOOKUP(TRIM(Table1[[#This Row],[Membership]]),Sheet2!$A$2:$A$7,Sheet2!$B$2:$B$7,"Checkmanually")</f>
        <v>Silver</v>
      </c>
      <c r="L304" s="3">
        <v>43920</v>
      </c>
    </row>
    <row r="305" spans="1:12" x14ac:dyDescent="0.25">
      <c r="A305" s="2" t="s">
        <v>1272</v>
      </c>
      <c r="B305" s="2" t="s">
        <v>2869</v>
      </c>
      <c r="C305" s="2" t="s">
        <v>13</v>
      </c>
      <c r="D305" s="3">
        <v>31136</v>
      </c>
      <c r="E305" s="2" t="s">
        <v>1273</v>
      </c>
      <c r="F305" s="2" t="s">
        <v>1274</v>
      </c>
      <c r="G305" s="2" t="s">
        <v>16</v>
      </c>
      <c r="H305" s="2" t="s">
        <v>17</v>
      </c>
      <c r="I305" s="2" t="s">
        <v>18</v>
      </c>
      <c r="J305" s="2" t="s">
        <v>19</v>
      </c>
      <c r="K305" s="2" t="str">
        <f>_xlfn.XLOOKUP(TRIM(Table1[[#This Row],[Membership]]),Sheet2!$A$2:$A$7,Sheet2!$B$2:$B$7,"Checkmanually")</f>
        <v>Bronze</v>
      </c>
      <c r="L305" s="3">
        <v>43888</v>
      </c>
    </row>
    <row r="306" spans="1:12" x14ac:dyDescent="0.25">
      <c r="A306" s="2" t="s">
        <v>1275</v>
      </c>
      <c r="B306" s="2" t="s">
        <v>1276</v>
      </c>
      <c r="C306" s="2" t="s">
        <v>13</v>
      </c>
      <c r="D306" s="3">
        <v>23255</v>
      </c>
      <c r="E306" s="2" t="s">
        <v>1277</v>
      </c>
      <c r="F306" s="2" t="s">
        <v>1278</v>
      </c>
      <c r="G306" s="2" t="s">
        <v>54</v>
      </c>
      <c r="H306" s="2" t="s">
        <v>17</v>
      </c>
      <c r="I306" s="2" t="s">
        <v>18</v>
      </c>
      <c r="J306" s="2" t="s">
        <v>19</v>
      </c>
      <c r="K306" s="2" t="str">
        <f>_xlfn.XLOOKUP(TRIM(Table1[[#This Row],[Membership]]),Sheet2!$A$2:$A$7,Sheet2!$B$2:$B$7,"Checkmanually")</f>
        <v>Bronze</v>
      </c>
      <c r="L306" s="3">
        <v>45821</v>
      </c>
    </row>
    <row r="307" spans="1:12" x14ac:dyDescent="0.25">
      <c r="A307" s="2" t="s">
        <v>1279</v>
      </c>
      <c r="B307" s="2" t="s">
        <v>1280</v>
      </c>
      <c r="C307" s="2" t="s">
        <v>33</v>
      </c>
      <c r="D307" s="3">
        <v>23618</v>
      </c>
      <c r="E307" s="2" t="s">
        <v>1281</v>
      </c>
      <c r="F307" s="2" t="s">
        <v>1282</v>
      </c>
      <c r="G307" s="2" t="s">
        <v>16</v>
      </c>
      <c r="H307" s="2" t="s">
        <v>17</v>
      </c>
      <c r="I307" s="2" t="s">
        <v>18</v>
      </c>
      <c r="J307" s="2" t="s">
        <v>25</v>
      </c>
      <c r="K307" s="2" t="str">
        <f>_xlfn.XLOOKUP(TRIM(Table1[[#This Row],[Membership]]),Sheet2!$A$2:$A$7,Sheet2!$B$2:$B$7,"Checkmanually")</f>
        <v>Silver</v>
      </c>
      <c r="L307" s="3">
        <v>44440</v>
      </c>
    </row>
    <row r="308" spans="1:12" x14ac:dyDescent="0.25">
      <c r="A308" s="2" t="s">
        <v>1283</v>
      </c>
      <c r="B308" s="2" t="s">
        <v>1284</v>
      </c>
      <c r="C308" s="2" t="s">
        <v>33</v>
      </c>
      <c r="D308" s="3">
        <v>37840</v>
      </c>
      <c r="E308" s="2" t="s">
        <v>1285</v>
      </c>
      <c r="F308" s="2" t="s">
        <v>1286</v>
      </c>
      <c r="G308" s="2" t="s">
        <v>54</v>
      </c>
      <c r="H308" s="2" t="s">
        <v>17</v>
      </c>
      <c r="I308" s="2" t="s">
        <v>18</v>
      </c>
      <c r="J308" s="2" t="s">
        <v>19</v>
      </c>
      <c r="K308" s="2" t="str">
        <f>_xlfn.XLOOKUP(TRIM(Table1[[#This Row],[Membership]]),Sheet2!$A$2:$A$7,Sheet2!$B$2:$B$7,"Checkmanually")</f>
        <v>Bronze</v>
      </c>
      <c r="L308" s="3">
        <v>44719</v>
      </c>
    </row>
    <row r="309" spans="1:12" x14ac:dyDescent="0.25">
      <c r="A309" s="2" t="s">
        <v>1287</v>
      </c>
      <c r="B309" s="2" t="s">
        <v>1288</v>
      </c>
      <c r="C309" s="2" t="s">
        <v>13</v>
      </c>
      <c r="D309" s="3">
        <v>30686</v>
      </c>
      <c r="E309" s="2" t="s">
        <v>1289</v>
      </c>
      <c r="F309" s="2" t="s">
        <v>1290</v>
      </c>
      <c r="G309" s="2" t="s">
        <v>54</v>
      </c>
      <c r="H309" s="2" t="s">
        <v>17</v>
      </c>
      <c r="I309" s="2" t="s">
        <v>18</v>
      </c>
      <c r="J309" s="2" t="s">
        <v>183</v>
      </c>
      <c r="K309" s="2" t="str">
        <f>_xlfn.XLOOKUP(TRIM(Table1[[#This Row],[Membership]]),Sheet2!$A$2:$A$7,Sheet2!$B$2:$B$7,"Checkmanually")</f>
        <v>Gold</v>
      </c>
      <c r="L309" s="3">
        <v>43812</v>
      </c>
    </row>
    <row r="310" spans="1:12" x14ac:dyDescent="0.25">
      <c r="A310" s="2" t="s">
        <v>1291</v>
      </c>
      <c r="B310" s="2" t="s">
        <v>1292</v>
      </c>
      <c r="C310" s="2" t="s">
        <v>33</v>
      </c>
      <c r="D310" s="3">
        <v>27061</v>
      </c>
      <c r="E310" s="2" t="s">
        <v>1293</v>
      </c>
      <c r="F310" s="2" t="s">
        <v>1294</v>
      </c>
      <c r="G310" s="2" t="s">
        <v>24</v>
      </c>
      <c r="H310" s="2" t="s">
        <v>17</v>
      </c>
      <c r="I310" s="2" t="s">
        <v>18</v>
      </c>
      <c r="J310" s="2" t="s">
        <v>183</v>
      </c>
      <c r="K310" s="2" t="str">
        <f>_xlfn.XLOOKUP(TRIM(Table1[[#This Row],[Membership]]),Sheet2!$A$2:$A$7,Sheet2!$B$2:$B$7,"Checkmanually")</f>
        <v>Gold</v>
      </c>
      <c r="L310" s="3">
        <v>44980</v>
      </c>
    </row>
    <row r="311" spans="1:12" x14ac:dyDescent="0.25">
      <c r="A311" s="2" t="s">
        <v>1295</v>
      </c>
      <c r="B311" s="2" t="s">
        <v>1296</v>
      </c>
      <c r="C311" s="2" t="s">
        <v>33</v>
      </c>
      <c r="D311" s="3">
        <v>32180</v>
      </c>
      <c r="E311" s="2" t="s">
        <v>1297</v>
      </c>
      <c r="F311" s="2" t="s">
        <v>1298</v>
      </c>
      <c r="G311" s="2" t="s">
        <v>30</v>
      </c>
      <c r="H311" s="2" t="s">
        <v>17</v>
      </c>
      <c r="I311" s="2" t="s">
        <v>18</v>
      </c>
      <c r="J311" s="2" t="s">
        <v>19</v>
      </c>
      <c r="K311" s="2" t="str">
        <f>_xlfn.XLOOKUP(TRIM(Table1[[#This Row],[Membership]]),Sheet2!$A$2:$A$7,Sheet2!$B$2:$B$7,"Checkmanually")</f>
        <v>Bronze</v>
      </c>
      <c r="L311" s="3">
        <v>43280</v>
      </c>
    </row>
    <row r="312" spans="1:12" x14ac:dyDescent="0.25">
      <c r="A312" s="2" t="s">
        <v>1299</v>
      </c>
      <c r="B312" s="2" t="s">
        <v>1300</v>
      </c>
      <c r="C312" s="2" t="s">
        <v>13</v>
      </c>
      <c r="D312" s="3">
        <v>36460</v>
      </c>
      <c r="E312" s="2" t="s">
        <v>1301</v>
      </c>
      <c r="F312" s="2" t="s">
        <v>1302</v>
      </c>
      <c r="G312" s="2" t="s">
        <v>540</v>
      </c>
      <c r="H312" s="2" t="s">
        <v>48</v>
      </c>
      <c r="I312" s="2" t="s">
        <v>49</v>
      </c>
      <c r="J312" s="2" t="s">
        <v>19</v>
      </c>
      <c r="K312" s="2" t="str">
        <f>_xlfn.XLOOKUP(TRIM(Table1[[#This Row],[Membership]]),Sheet2!$A$2:$A$7,Sheet2!$B$2:$B$7,"Checkmanually")</f>
        <v>Bronze</v>
      </c>
      <c r="L312" s="3">
        <v>43518</v>
      </c>
    </row>
    <row r="313" spans="1:12" x14ac:dyDescent="0.25">
      <c r="A313" s="2" t="s">
        <v>1303</v>
      </c>
      <c r="B313" s="2" t="s">
        <v>1304</v>
      </c>
      <c r="C313" s="2" t="s">
        <v>13</v>
      </c>
      <c r="D313" s="3">
        <v>23194</v>
      </c>
      <c r="E313" s="2" t="s">
        <v>1305</v>
      </c>
      <c r="F313" s="2" t="s">
        <v>1306</v>
      </c>
      <c r="G313" s="2" t="s">
        <v>121</v>
      </c>
      <c r="H313" s="2" t="s">
        <v>122</v>
      </c>
      <c r="I313" s="2" t="s">
        <v>18</v>
      </c>
      <c r="J313" s="2" t="s">
        <v>183</v>
      </c>
      <c r="K313" s="2" t="str">
        <f>_xlfn.XLOOKUP(TRIM(Table1[[#This Row],[Membership]]),Sheet2!$A$2:$A$7,Sheet2!$B$2:$B$7,"Checkmanually")</f>
        <v>Gold</v>
      </c>
      <c r="L313" s="3">
        <v>45558</v>
      </c>
    </row>
    <row r="314" spans="1:12" x14ac:dyDescent="0.25">
      <c r="A314" s="2" t="s">
        <v>1307</v>
      </c>
      <c r="B314" s="2" t="s">
        <v>1308</v>
      </c>
      <c r="C314" s="2" t="s">
        <v>33</v>
      </c>
      <c r="D314" s="3">
        <v>24445</v>
      </c>
      <c r="E314" s="2" t="s">
        <v>1309</v>
      </c>
      <c r="F314" s="2" t="s">
        <v>1310</v>
      </c>
      <c r="G314" s="2" t="s">
        <v>40</v>
      </c>
      <c r="H314" s="2" t="s">
        <v>41</v>
      </c>
      <c r="I314" s="2" t="s">
        <v>42</v>
      </c>
      <c r="J314" s="2" t="s">
        <v>19</v>
      </c>
      <c r="K314" s="2" t="str">
        <f>_xlfn.XLOOKUP(TRIM(Table1[[#This Row],[Membership]]),Sheet2!$A$2:$A$7,Sheet2!$B$2:$B$7,"Checkmanually")</f>
        <v>Bronze</v>
      </c>
      <c r="L314" s="3">
        <v>44461</v>
      </c>
    </row>
    <row r="315" spans="1:12" x14ac:dyDescent="0.25">
      <c r="A315" s="2" t="s">
        <v>1311</v>
      </c>
      <c r="B315" s="2" t="s">
        <v>1312</v>
      </c>
      <c r="C315" s="2" t="s">
        <v>33</v>
      </c>
      <c r="D315" s="3">
        <v>35888</v>
      </c>
      <c r="E315" s="2" t="s">
        <v>1313</v>
      </c>
      <c r="F315" s="2" t="s">
        <v>1314</v>
      </c>
      <c r="G315" s="2" t="s">
        <v>24</v>
      </c>
      <c r="H315" s="2" t="s">
        <v>17</v>
      </c>
      <c r="I315" s="2" t="s">
        <v>18</v>
      </c>
      <c r="J315" s="2" t="s">
        <v>19</v>
      </c>
      <c r="K315" s="2" t="str">
        <f>_xlfn.XLOOKUP(TRIM(Table1[[#This Row],[Membership]]),Sheet2!$A$2:$A$7,Sheet2!$B$2:$B$7,"Checkmanually")</f>
        <v>Bronze</v>
      </c>
      <c r="L315" s="3">
        <v>43377</v>
      </c>
    </row>
    <row r="316" spans="1:12" x14ac:dyDescent="0.25">
      <c r="A316" s="2" t="s">
        <v>1315</v>
      </c>
      <c r="B316" s="2" t="s">
        <v>1316</v>
      </c>
      <c r="C316" s="2" t="s">
        <v>13</v>
      </c>
      <c r="D316" s="3">
        <v>36835</v>
      </c>
      <c r="E316" s="2" t="s">
        <v>1317</v>
      </c>
      <c r="F316" s="2" t="s">
        <v>1318</v>
      </c>
      <c r="G316" s="2" t="s">
        <v>121</v>
      </c>
      <c r="H316" s="2" t="s">
        <v>122</v>
      </c>
      <c r="I316" s="2" t="s">
        <v>18</v>
      </c>
      <c r="J316" s="2" t="s">
        <v>25</v>
      </c>
      <c r="K316" s="2" t="str">
        <f>_xlfn.XLOOKUP(TRIM(Table1[[#This Row],[Membership]]),Sheet2!$A$2:$A$7,Sheet2!$B$2:$B$7,"Checkmanually")</f>
        <v>Silver</v>
      </c>
      <c r="L316" s="3">
        <v>45724</v>
      </c>
    </row>
    <row r="317" spans="1:12" x14ac:dyDescent="0.25">
      <c r="A317" s="2" t="s">
        <v>1319</v>
      </c>
      <c r="B317" s="2" t="s">
        <v>1320</v>
      </c>
      <c r="C317" s="2" t="s">
        <v>13</v>
      </c>
      <c r="D317" s="3">
        <v>20525</v>
      </c>
      <c r="E317" s="2" t="s">
        <v>1321</v>
      </c>
      <c r="F317" s="2" t="s">
        <v>1322</v>
      </c>
      <c r="G317" s="2" t="s">
        <v>121</v>
      </c>
      <c r="H317" s="2" t="s">
        <v>122</v>
      </c>
      <c r="I317" s="2" t="s">
        <v>18</v>
      </c>
      <c r="J317" s="2" t="s">
        <v>19</v>
      </c>
      <c r="K317" s="2" t="str">
        <f>_xlfn.XLOOKUP(TRIM(Table1[[#This Row],[Membership]]),Sheet2!$A$2:$A$7,Sheet2!$B$2:$B$7,"Checkmanually")</f>
        <v>Bronze</v>
      </c>
      <c r="L317" s="3">
        <v>44053</v>
      </c>
    </row>
    <row r="318" spans="1:12" x14ac:dyDescent="0.25">
      <c r="A318" s="2" t="s">
        <v>1323</v>
      </c>
      <c r="B318" s="2" t="s">
        <v>1324</v>
      </c>
      <c r="C318" s="2" t="s">
        <v>33</v>
      </c>
      <c r="D318" s="3">
        <v>34131</v>
      </c>
      <c r="E318" s="2" t="s">
        <v>1325</v>
      </c>
      <c r="F318" s="2" t="s">
        <v>1326</v>
      </c>
      <c r="G318" s="2" t="s">
        <v>63</v>
      </c>
      <c r="H318" s="2" t="s">
        <v>17</v>
      </c>
      <c r="I318" s="2" t="s">
        <v>18</v>
      </c>
      <c r="J318" s="2" t="s">
        <v>25</v>
      </c>
      <c r="K318" s="2" t="str">
        <f>_xlfn.XLOOKUP(TRIM(Table1[[#This Row],[Membership]]),Sheet2!$A$2:$A$7,Sheet2!$B$2:$B$7,"Checkmanually")</f>
        <v>Silver</v>
      </c>
      <c r="L318" s="3">
        <v>44098</v>
      </c>
    </row>
    <row r="319" spans="1:12" x14ac:dyDescent="0.25">
      <c r="A319" s="2" t="s">
        <v>1327</v>
      </c>
      <c r="B319" s="2" t="s">
        <v>1328</v>
      </c>
      <c r="C319" s="2" t="s">
        <v>33</v>
      </c>
      <c r="D319" s="3">
        <v>29809</v>
      </c>
      <c r="E319" s="2" t="s">
        <v>1329</v>
      </c>
      <c r="F319" s="2" t="s">
        <v>1330</v>
      </c>
      <c r="G319" s="2" t="s">
        <v>228</v>
      </c>
      <c r="H319" s="2" t="s">
        <v>17</v>
      </c>
      <c r="I319" s="2" t="s">
        <v>18</v>
      </c>
      <c r="J319" s="2" t="s">
        <v>25</v>
      </c>
      <c r="K319" s="2" t="str">
        <f>_xlfn.XLOOKUP(TRIM(Table1[[#This Row],[Membership]]),Sheet2!$A$2:$A$7,Sheet2!$B$2:$B$7,"Checkmanually")</f>
        <v>Silver</v>
      </c>
      <c r="L319" s="3">
        <v>43928</v>
      </c>
    </row>
    <row r="320" spans="1:12" x14ac:dyDescent="0.25">
      <c r="A320" s="2" t="s">
        <v>1331</v>
      </c>
      <c r="B320" s="2" t="s">
        <v>1332</v>
      </c>
      <c r="C320" s="2" t="s">
        <v>13</v>
      </c>
      <c r="D320" s="3">
        <v>34630</v>
      </c>
      <c r="E320" s="2" t="s">
        <v>1333</v>
      </c>
      <c r="F320" s="2" t="s">
        <v>1334</v>
      </c>
      <c r="G320" s="2" t="s">
        <v>16</v>
      </c>
      <c r="H320" s="2" t="s">
        <v>17</v>
      </c>
      <c r="I320" s="2" t="s">
        <v>18</v>
      </c>
      <c r="J320" s="2" t="s">
        <v>25</v>
      </c>
      <c r="K320" s="2" t="str">
        <f>_xlfn.XLOOKUP(TRIM(Table1[[#This Row],[Membership]]),Sheet2!$A$2:$A$7,Sheet2!$B$2:$B$7,"Checkmanually")</f>
        <v>Silver</v>
      </c>
      <c r="L320" s="3">
        <v>44447</v>
      </c>
    </row>
    <row r="321" spans="1:12" x14ac:dyDescent="0.25">
      <c r="A321" s="2" t="s">
        <v>1335</v>
      </c>
      <c r="B321" s="2" t="s">
        <v>1336</v>
      </c>
      <c r="C321" s="2" t="s">
        <v>13</v>
      </c>
      <c r="D321" s="3">
        <v>33685</v>
      </c>
      <c r="E321" s="2" t="s">
        <v>1337</v>
      </c>
      <c r="F321" s="2" t="s">
        <v>1338</v>
      </c>
      <c r="G321" s="2" t="s">
        <v>16</v>
      </c>
      <c r="H321" s="2" t="s">
        <v>17</v>
      </c>
      <c r="I321" s="2" t="s">
        <v>18</v>
      </c>
      <c r="J321" s="2" t="s">
        <v>25</v>
      </c>
      <c r="K321" s="2" t="str">
        <f>_xlfn.XLOOKUP(TRIM(Table1[[#This Row],[Membership]]),Sheet2!$A$2:$A$7,Sheet2!$B$2:$B$7,"Checkmanually")</f>
        <v>Silver</v>
      </c>
      <c r="L321" s="3">
        <v>45755</v>
      </c>
    </row>
    <row r="322" spans="1:12" x14ac:dyDescent="0.25">
      <c r="A322" s="2" t="s">
        <v>1339</v>
      </c>
      <c r="B322" s="2" t="s">
        <v>1340</v>
      </c>
      <c r="C322" s="2" t="s">
        <v>13</v>
      </c>
      <c r="D322" s="3">
        <v>30945</v>
      </c>
      <c r="E322" s="2" t="s">
        <v>1341</v>
      </c>
      <c r="F322" s="2" t="s">
        <v>1342</v>
      </c>
      <c r="G322" s="2" t="s">
        <v>16</v>
      </c>
      <c r="H322" s="2" t="s">
        <v>17</v>
      </c>
      <c r="I322" s="2" t="s">
        <v>18</v>
      </c>
      <c r="J322" s="2" t="s">
        <v>25</v>
      </c>
      <c r="K322" s="2" t="str">
        <f>_xlfn.XLOOKUP(TRIM(Table1[[#This Row],[Membership]]),Sheet2!$A$2:$A$7,Sheet2!$B$2:$B$7,"Checkmanually")</f>
        <v>Silver</v>
      </c>
      <c r="L322" s="3">
        <v>44504</v>
      </c>
    </row>
    <row r="323" spans="1:12" x14ac:dyDescent="0.25">
      <c r="A323" s="2" t="s">
        <v>1343</v>
      </c>
      <c r="B323" s="2" t="s">
        <v>1344</v>
      </c>
      <c r="C323" s="2" t="s">
        <v>13</v>
      </c>
      <c r="D323" s="3">
        <v>28227</v>
      </c>
      <c r="E323" s="2" t="s">
        <v>1345</v>
      </c>
      <c r="F323" s="2" t="s">
        <v>1346</v>
      </c>
      <c r="G323" s="2" t="s">
        <v>16</v>
      </c>
      <c r="H323" s="2" t="s">
        <v>17</v>
      </c>
      <c r="I323" s="2" t="s">
        <v>18</v>
      </c>
      <c r="J323" s="2" t="s">
        <v>19</v>
      </c>
      <c r="K323" s="2" t="str">
        <f>_xlfn.XLOOKUP(TRIM(Table1[[#This Row],[Membership]]),Sheet2!$A$2:$A$7,Sheet2!$B$2:$B$7,"Checkmanually")</f>
        <v>Bronze</v>
      </c>
      <c r="L323" s="3">
        <v>45916</v>
      </c>
    </row>
    <row r="324" spans="1:12" x14ac:dyDescent="0.25">
      <c r="A324" s="2" t="s">
        <v>1347</v>
      </c>
      <c r="B324" s="2" t="s">
        <v>1348</v>
      </c>
      <c r="C324" s="2" t="s">
        <v>33</v>
      </c>
      <c r="D324" s="3">
        <v>37177</v>
      </c>
      <c r="E324" s="2" t="s">
        <v>1349</v>
      </c>
      <c r="F324" s="2" t="s">
        <v>1350</v>
      </c>
      <c r="G324" s="2" t="s">
        <v>121</v>
      </c>
      <c r="H324" s="2" t="s">
        <v>122</v>
      </c>
      <c r="I324" s="2" t="s">
        <v>18</v>
      </c>
      <c r="J324" s="2" t="s">
        <v>19</v>
      </c>
      <c r="K324" s="2" t="str">
        <f>_xlfn.XLOOKUP(TRIM(Table1[[#This Row],[Membership]]),Sheet2!$A$2:$A$7,Sheet2!$B$2:$B$7,"Checkmanually")</f>
        <v>Bronze</v>
      </c>
      <c r="L324" s="3">
        <v>44418</v>
      </c>
    </row>
    <row r="325" spans="1:12" x14ac:dyDescent="0.25">
      <c r="A325" s="2" t="s">
        <v>1351</v>
      </c>
      <c r="B325" s="2" t="s">
        <v>1352</v>
      </c>
      <c r="C325" s="2" t="s">
        <v>33</v>
      </c>
      <c r="D325" s="3">
        <v>36200</v>
      </c>
      <c r="E325" s="2" t="s">
        <v>1353</v>
      </c>
      <c r="F325" s="2" t="s">
        <v>1354</v>
      </c>
      <c r="G325" s="2" t="s">
        <v>16</v>
      </c>
      <c r="H325" s="2" t="s">
        <v>17</v>
      </c>
      <c r="I325" s="2" t="s">
        <v>18</v>
      </c>
      <c r="J325" s="2" t="s">
        <v>183</v>
      </c>
      <c r="K325" s="2" t="str">
        <f>_xlfn.XLOOKUP(TRIM(Table1[[#This Row],[Membership]]),Sheet2!$A$2:$A$7,Sheet2!$B$2:$B$7,"Checkmanually")</f>
        <v>Gold</v>
      </c>
      <c r="L325" s="3">
        <v>43387</v>
      </c>
    </row>
    <row r="326" spans="1:12" x14ac:dyDescent="0.25">
      <c r="A326" s="2" t="s">
        <v>1355</v>
      </c>
      <c r="B326" s="2" t="s">
        <v>1356</v>
      </c>
      <c r="C326" s="2" t="s">
        <v>13</v>
      </c>
      <c r="D326" s="3">
        <v>24204</v>
      </c>
      <c r="E326" s="2" t="s">
        <v>1357</v>
      </c>
      <c r="F326" s="2" t="s">
        <v>1358</v>
      </c>
      <c r="G326" s="2" t="s">
        <v>228</v>
      </c>
      <c r="H326" s="2" t="s">
        <v>17</v>
      </c>
      <c r="I326" s="2" t="s">
        <v>18</v>
      </c>
      <c r="J326" s="2" t="s">
        <v>19</v>
      </c>
      <c r="K326" s="2" t="str">
        <f>_xlfn.XLOOKUP(TRIM(Table1[[#This Row],[Membership]]),Sheet2!$A$2:$A$7,Sheet2!$B$2:$B$7,"Checkmanually")</f>
        <v>Bronze</v>
      </c>
      <c r="L326" s="3">
        <v>43476</v>
      </c>
    </row>
    <row r="327" spans="1:12" x14ac:dyDescent="0.25">
      <c r="A327" s="2" t="s">
        <v>1359</v>
      </c>
      <c r="B327" s="2" t="s">
        <v>1360</v>
      </c>
      <c r="C327" s="2" t="s">
        <v>13</v>
      </c>
      <c r="D327" s="3">
        <v>22651</v>
      </c>
      <c r="E327" s="2" t="s">
        <v>1361</v>
      </c>
      <c r="F327" s="2" t="s">
        <v>1362</v>
      </c>
      <c r="G327" s="2" t="s">
        <v>54</v>
      </c>
      <c r="H327" s="2" t="s">
        <v>17</v>
      </c>
      <c r="I327" s="2" t="s">
        <v>18</v>
      </c>
      <c r="J327" s="2" t="s">
        <v>25</v>
      </c>
      <c r="K327" s="2" t="str">
        <f>_xlfn.XLOOKUP(TRIM(Table1[[#This Row],[Membership]]),Sheet2!$A$2:$A$7,Sheet2!$B$2:$B$7,"Checkmanually")</f>
        <v>Silver</v>
      </c>
      <c r="L327" s="3">
        <v>44846</v>
      </c>
    </row>
    <row r="328" spans="1:12" x14ac:dyDescent="0.25">
      <c r="A328" s="2" t="s">
        <v>1363</v>
      </c>
      <c r="B328" s="2" t="s">
        <v>1364</v>
      </c>
      <c r="C328" s="2" t="s">
        <v>13</v>
      </c>
      <c r="D328" s="3">
        <v>28115</v>
      </c>
      <c r="E328" s="2" t="s">
        <v>1365</v>
      </c>
      <c r="F328" s="2" t="s">
        <v>1366</v>
      </c>
      <c r="G328" s="2" t="s">
        <v>228</v>
      </c>
      <c r="H328" s="2" t="s">
        <v>17</v>
      </c>
      <c r="I328" s="2" t="s">
        <v>18</v>
      </c>
      <c r="J328" s="2" t="s">
        <v>19</v>
      </c>
      <c r="K328" s="2" t="str">
        <f>_xlfn.XLOOKUP(TRIM(Table1[[#This Row],[Membership]]),Sheet2!$A$2:$A$7,Sheet2!$B$2:$B$7,"Checkmanually")</f>
        <v>Bronze</v>
      </c>
      <c r="L328" s="3">
        <v>44837</v>
      </c>
    </row>
    <row r="329" spans="1:12" x14ac:dyDescent="0.25">
      <c r="A329" s="2" t="s">
        <v>1367</v>
      </c>
      <c r="B329" s="2" t="s">
        <v>1368</v>
      </c>
      <c r="C329" s="2" t="s">
        <v>33</v>
      </c>
      <c r="D329" s="3">
        <v>34778</v>
      </c>
      <c r="E329" s="2" t="s">
        <v>1369</v>
      </c>
      <c r="F329" s="2" t="s">
        <v>1370</v>
      </c>
      <c r="G329" s="2" t="s">
        <v>30</v>
      </c>
      <c r="H329" s="2" t="s">
        <v>17</v>
      </c>
      <c r="I329" s="2" t="s">
        <v>18</v>
      </c>
      <c r="J329" s="2" t="s">
        <v>25</v>
      </c>
      <c r="K329" s="2" t="str">
        <f>_xlfn.XLOOKUP(TRIM(Table1[[#This Row],[Membership]]),Sheet2!$A$2:$A$7,Sheet2!$B$2:$B$7,"Checkmanually")</f>
        <v>Silver</v>
      </c>
      <c r="L329" s="3">
        <v>45704</v>
      </c>
    </row>
    <row r="330" spans="1:12" x14ac:dyDescent="0.25">
      <c r="A330" s="2" t="s">
        <v>1371</v>
      </c>
      <c r="B330" s="2" t="s">
        <v>1372</v>
      </c>
      <c r="C330" s="2" t="s">
        <v>13</v>
      </c>
      <c r="D330" s="3">
        <v>31872</v>
      </c>
      <c r="E330" s="2" t="s">
        <v>1373</v>
      </c>
      <c r="F330" s="2" t="s">
        <v>1374</v>
      </c>
      <c r="G330" s="2" t="s">
        <v>90</v>
      </c>
      <c r="H330" s="2" t="s">
        <v>91</v>
      </c>
      <c r="I330" s="2" t="s">
        <v>18</v>
      </c>
      <c r="J330" s="2" t="s">
        <v>183</v>
      </c>
      <c r="K330" s="2" t="str">
        <f>_xlfn.XLOOKUP(TRIM(Table1[[#This Row],[Membership]]),Sheet2!$A$2:$A$7,Sheet2!$B$2:$B$7,"Checkmanually")</f>
        <v>Gold</v>
      </c>
      <c r="L330" s="3">
        <v>44732</v>
      </c>
    </row>
    <row r="331" spans="1:12" x14ac:dyDescent="0.25">
      <c r="A331" s="2" t="s">
        <v>1375</v>
      </c>
      <c r="B331" s="2" t="s">
        <v>1376</v>
      </c>
      <c r="C331" s="2" t="s">
        <v>33</v>
      </c>
      <c r="D331" s="3">
        <v>34292</v>
      </c>
      <c r="E331" s="2" t="s">
        <v>1377</v>
      </c>
      <c r="F331" s="2" t="s">
        <v>1378</v>
      </c>
      <c r="G331" s="2" t="s">
        <v>90</v>
      </c>
      <c r="H331" s="2" t="s">
        <v>91</v>
      </c>
      <c r="I331" s="2" t="s">
        <v>18</v>
      </c>
      <c r="J331" s="2" t="s">
        <v>25</v>
      </c>
      <c r="K331" s="2" t="str">
        <f>_xlfn.XLOOKUP(TRIM(Table1[[#This Row],[Membership]]),Sheet2!$A$2:$A$7,Sheet2!$B$2:$B$7,"Checkmanually")</f>
        <v>Silver</v>
      </c>
      <c r="L331" s="3">
        <v>43739</v>
      </c>
    </row>
    <row r="332" spans="1:12" x14ac:dyDescent="0.25">
      <c r="A332" s="2" t="s">
        <v>1379</v>
      </c>
      <c r="B332" s="2" t="s">
        <v>1380</v>
      </c>
      <c r="C332" s="2" t="s">
        <v>33</v>
      </c>
      <c r="D332" s="3">
        <v>34094</v>
      </c>
      <c r="E332" s="2" t="s">
        <v>1381</v>
      </c>
      <c r="F332" s="2" t="s">
        <v>1382</v>
      </c>
      <c r="G332" s="2" t="s">
        <v>193</v>
      </c>
      <c r="H332" s="2" t="s">
        <v>193</v>
      </c>
      <c r="I332" s="2" t="s">
        <v>49</v>
      </c>
      <c r="J332" s="2" t="s">
        <v>19</v>
      </c>
      <c r="K332" s="2" t="str">
        <f>_xlfn.XLOOKUP(TRIM(Table1[[#This Row],[Membership]]),Sheet2!$A$2:$A$7,Sheet2!$B$2:$B$7,"Checkmanually")</f>
        <v>Bronze</v>
      </c>
      <c r="L332" s="3">
        <v>43441</v>
      </c>
    </row>
    <row r="333" spans="1:12" x14ac:dyDescent="0.25">
      <c r="A333" s="2" t="s">
        <v>1383</v>
      </c>
      <c r="B333" s="2" t="s">
        <v>1384</v>
      </c>
      <c r="C333" s="2" t="s">
        <v>33</v>
      </c>
      <c r="D333" s="3">
        <v>38205</v>
      </c>
      <c r="E333" s="2" t="s">
        <v>1385</v>
      </c>
      <c r="F333" s="2" t="s">
        <v>1386</v>
      </c>
      <c r="G333" s="2" t="s">
        <v>47</v>
      </c>
      <c r="H333" s="2" t="s">
        <v>48</v>
      </c>
      <c r="I333" s="2" t="s">
        <v>49</v>
      </c>
      <c r="J333" s="2" t="s">
        <v>25</v>
      </c>
      <c r="K333" s="2" t="str">
        <f>_xlfn.XLOOKUP(TRIM(Table1[[#This Row],[Membership]]),Sheet2!$A$2:$A$7,Sheet2!$B$2:$B$7,"Checkmanually")</f>
        <v>Silver</v>
      </c>
      <c r="L333" s="3">
        <v>46077</v>
      </c>
    </row>
    <row r="334" spans="1:12" x14ac:dyDescent="0.25">
      <c r="A334" s="2" t="s">
        <v>1387</v>
      </c>
      <c r="B334" s="2" t="s">
        <v>1388</v>
      </c>
      <c r="C334" s="2" t="s">
        <v>13</v>
      </c>
      <c r="D334" s="3">
        <v>29370</v>
      </c>
      <c r="E334" s="2" t="s">
        <v>1389</v>
      </c>
      <c r="F334" s="2" t="s">
        <v>1390</v>
      </c>
      <c r="G334" s="2" t="s">
        <v>90</v>
      </c>
      <c r="H334" s="2" t="s">
        <v>91</v>
      </c>
      <c r="I334" s="2" t="s">
        <v>18</v>
      </c>
      <c r="J334" s="2" t="s">
        <v>25</v>
      </c>
      <c r="K334" s="2" t="str">
        <f>_xlfn.XLOOKUP(TRIM(Table1[[#This Row],[Membership]]),Sheet2!$A$2:$A$7,Sheet2!$B$2:$B$7,"Checkmanually")</f>
        <v>Silver</v>
      </c>
      <c r="L334" s="3">
        <v>44637</v>
      </c>
    </row>
    <row r="335" spans="1:12" x14ac:dyDescent="0.25">
      <c r="A335" s="2" t="s">
        <v>1391</v>
      </c>
      <c r="B335" s="2" t="s">
        <v>1392</v>
      </c>
      <c r="C335" s="2" t="s">
        <v>13</v>
      </c>
      <c r="D335" s="3">
        <v>35466</v>
      </c>
      <c r="E335" s="2" t="s">
        <v>1393</v>
      </c>
      <c r="F335" s="2" t="s">
        <v>1394</v>
      </c>
      <c r="G335" s="2" t="s">
        <v>63</v>
      </c>
      <c r="H335" s="2" t="s">
        <v>17</v>
      </c>
      <c r="I335" s="2" t="s">
        <v>18</v>
      </c>
      <c r="J335" s="2" t="s">
        <v>25</v>
      </c>
      <c r="K335" s="2" t="str">
        <f>_xlfn.XLOOKUP(TRIM(Table1[[#This Row],[Membership]]),Sheet2!$A$2:$A$7,Sheet2!$B$2:$B$7,"Checkmanually")</f>
        <v>Silver</v>
      </c>
      <c r="L335" s="3">
        <v>43902</v>
      </c>
    </row>
    <row r="336" spans="1:12" x14ac:dyDescent="0.25">
      <c r="A336" s="2" t="s">
        <v>1395</v>
      </c>
      <c r="B336" s="2" t="s">
        <v>1396</v>
      </c>
      <c r="C336" s="2" t="s">
        <v>33</v>
      </c>
      <c r="D336" s="3">
        <v>32353</v>
      </c>
      <c r="E336" s="2" t="s">
        <v>1397</v>
      </c>
      <c r="F336" s="2" t="s">
        <v>1398</v>
      </c>
      <c r="G336" s="2" t="s">
        <v>387</v>
      </c>
      <c r="H336" s="2" t="s">
        <v>388</v>
      </c>
      <c r="I336" s="2" t="s">
        <v>146</v>
      </c>
      <c r="J336" s="2" t="s">
        <v>19</v>
      </c>
      <c r="K336" s="2" t="str">
        <f>_xlfn.XLOOKUP(TRIM(Table1[[#This Row],[Membership]]),Sheet2!$A$2:$A$7,Sheet2!$B$2:$B$7,"Checkmanually")</f>
        <v>Bronze</v>
      </c>
      <c r="L336" s="3">
        <v>45113</v>
      </c>
    </row>
    <row r="337" spans="1:12" x14ac:dyDescent="0.25">
      <c r="A337" s="2" t="s">
        <v>1399</v>
      </c>
      <c r="B337" s="2" t="s">
        <v>1400</v>
      </c>
      <c r="C337" s="2" t="s">
        <v>13</v>
      </c>
      <c r="D337" s="3">
        <v>30176</v>
      </c>
      <c r="E337" s="2" t="s">
        <v>1401</v>
      </c>
      <c r="F337" s="2" t="s">
        <v>1402</v>
      </c>
      <c r="G337" s="2" t="s">
        <v>540</v>
      </c>
      <c r="H337" s="2" t="s">
        <v>48</v>
      </c>
      <c r="I337" s="2" t="s">
        <v>49</v>
      </c>
      <c r="J337" s="2" t="s">
        <v>25</v>
      </c>
      <c r="K337" s="2" t="str">
        <f>_xlfn.XLOOKUP(TRIM(Table1[[#This Row],[Membership]]),Sheet2!$A$2:$A$7,Sheet2!$B$2:$B$7,"Checkmanually")</f>
        <v>Silver</v>
      </c>
      <c r="L337" s="3">
        <v>45726</v>
      </c>
    </row>
    <row r="338" spans="1:12" x14ac:dyDescent="0.25">
      <c r="A338" s="2" t="s">
        <v>1403</v>
      </c>
      <c r="B338" s="2" t="s">
        <v>1404</v>
      </c>
      <c r="C338" s="2" t="s">
        <v>33</v>
      </c>
      <c r="D338" s="3">
        <v>24168</v>
      </c>
      <c r="E338" s="2" t="s">
        <v>1405</v>
      </c>
      <c r="F338" s="2" t="s">
        <v>1406</v>
      </c>
      <c r="G338" s="2" t="s">
        <v>16</v>
      </c>
      <c r="H338" s="2" t="s">
        <v>17</v>
      </c>
      <c r="I338" s="2" t="s">
        <v>18</v>
      </c>
      <c r="J338" s="2" t="s">
        <v>19</v>
      </c>
      <c r="K338" s="2" t="str">
        <f>_xlfn.XLOOKUP(TRIM(Table1[[#This Row],[Membership]]),Sheet2!$A$2:$A$7,Sheet2!$B$2:$B$7,"Checkmanually")</f>
        <v>Bronze</v>
      </c>
      <c r="L338" s="3">
        <v>44677</v>
      </c>
    </row>
    <row r="339" spans="1:12" x14ac:dyDescent="0.25">
      <c r="A339" s="2" t="s">
        <v>1407</v>
      </c>
      <c r="B339" s="2" t="s">
        <v>1408</v>
      </c>
      <c r="C339" s="2" t="s">
        <v>13</v>
      </c>
      <c r="D339" s="3">
        <v>31512</v>
      </c>
      <c r="E339" s="2" t="s">
        <v>1409</v>
      </c>
      <c r="F339" s="2" t="s">
        <v>1410</v>
      </c>
      <c r="G339" s="2" t="s">
        <v>131</v>
      </c>
      <c r="H339" s="2" t="s">
        <v>91</v>
      </c>
      <c r="I339" s="2" t="s">
        <v>18</v>
      </c>
      <c r="J339" s="2" t="s">
        <v>19</v>
      </c>
      <c r="K339" s="2" t="str">
        <f>_xlfn.XLOOKUP(TRIM(Table1[[#This Row],[Membership]]),Sheet2!$A$2:$A$7,Sheet2!$B$2:$B$7,"Checkmanually")</f>
        <v>Bronze</v>
      </c>
      <c r="L339" s="3">
        <v>45188</v>
      </c>
    </row>
    <row r="340" spans="1:12" x14ac:dyDescent="0.25">
      <c r="A340" s="2" t="s">
        <v>1411</v>
      </c>
      <c r="B340" s="2" t="s">
        <v>1412</v>
      </c>
      <c r="C340" s="2" t="s">
        <v>13</v>
      </c>
      <c r="D340" s="3">
        <v>32716</v>
      </c>
      <c r="E340" s="2" t="s">
        <v>1413</v>
      </c>
      <c r="F340" s="2" t="s">
        <v>1414</v>
      </c>
      <c r="G340" s="2" t="s">
        <v>24</v>
      </c>
      <c r="H340" s="2" t="s">
        <v>17</v>
      </c>
      <c r="I340" s="2" t="s">
        <v>18</v>
      </c>
      <c r="J340" s="2" t="s">
        <v>19</v>
      </c>
      <c r="K340" s="2" t="str">
        <f>_xlfn.XLOOKUP(TRIM(Table1[[#This Row],[Membership]]),Sheet2!$A$2:$A$7,Sheet2!$B$2:$B$7,"Checkmanually")</f>
        <v>Bronze</v>
      </c>
      <c r="L340" s="3">
        <v>44837</v>
      </c>
    </row>
    <row r="341" spans="1:12" x14ac:dyDescent="0.25">
      <c r="A341" s="2" t="s">
        <v>1415</v>
      </c>
      <c r="B341" s="2" t="s">
        <v>1416</v>
      </c>
      <c r="C341" s="2" t="s">
        <v>33</v>
      </c>
      <c r="D341" s="3">
        <v>31932</v>
      </c>
      <c r="E341" s="2" t="s">
        <v>1417</v>
      </c>
      <c r="F341" s="2" t="s">
        <v>1418</v>
      </c>
      <c r="G341" s="2" t="s">
        <v>90</v>
      </c>
      <c r="H341" s="2" t="s">
        <v>91</v>
      </c>
      <c r="I341" s="2" t="s">
        <v>18</v>
      </c>
      <c r="J341" s="2" t="s">
        <v>183</v>
      </c>
      <c r="K341" s="2" t="str">
        <f>_xlfn.XLOOKUP(TRIM(Table1[[#This Row],[Membership]]),Sheet2!$A$2:$A$7,Sheet2!$B$2:$B$7,"Checkmanually")</f>
        <v>Gold</v>
      </c>
      <c r="L341" s="3">
        <v>45685</v>
      </c>
    </row>
    <row r="342" spans="1:12" x14ac:dyDescent="0.25">
      <c r="A342" s="2" t="s">
        <v>1419</v>
      </c>
      <c r="B342" s="2" t="s">
        <v>1420</v>
      </c>
      <c r="C342" s="2" t="s">
        <v>33</v>
      </c>
      <c r="D342" s="3">
        <v>35014</v>
      </c>
      <c r="E342" s="2" t="s">
        <v>1421</v>
      </c>
      <c r="F342" s="2" t="s">
        <v>1422</v>
      </c>
      <c r="G342" s="2" t="s">
        <v>228</v>
      </c>
      <c r="H342" s="2" t="s">
        <v>17</v>
      </c>
      <c r="I342" s="2" t="s">
        <v>18</v>
      </c>
      <c r="J342" s="2" t="s">
        <v>25</v>
      </c>
      <c r="K342" s="2" t="str">
        <f>_xlfn.XLOOKUP(TRIM(Table1[[#This Row],[Membership]]),Sheet2!$A$2:$A$7,Sheet2!$B$2:$B$7,"Checkmanually")</f>
        <v>Silver</v>
      </c>
      <c r="L342" s="3">
        <v>45890</v>
      </c>
    </row>
    <row r="343" spans="1:12" x14ac:dyDescent="0.25">
      <c r="A343" s="2" t="s">
        <v>1423</v>
      </c>
      <c r="B343" s="2" t="s">
        <v>1424</v>
      </c>
      <c r="C343" s="2" t="s">
        <v>13</v>
      </c>
      <c r="D343" s="3">
        <v>25379</v>
      </c>
      <c r="E343" s="2" t="s">
        <v>1425</v>
      </c>
      <c r="F343" s="2" t="s">
        <v>1426</v>
      </c>
      <c r="G343" s="2" t="s">
        <v>121</v>
      </c>
      <c r="H343" s="2" t="s">
        <v>122</v>
      </c>
      <c r="I343" s="2" t="s">
        <v>18</v>
      </c>
      <c r="J343" s="2" t="s">
        <v>19</v>
      </c>
      <c r="K343" s="2" t="str">
        <f>_xlfn.XLOOKUP(TRIM(Table1[[#This Row],[Membership]]),Sheet2!$A$2:$A$7,Sheet2!$B$2:$B$7,"Checkmanually")</f>
        <v>Bronze</v>
      </c>
      <c r="L343" s="3">
        <v>43151</v>
      </c>
    </row>
    <row r="344" spans="1:12" x14ac:dyDescent="0.25">
      <c r="A344" s="2" t="s">
        <v>1427</v>
      </c>
      <c r="B344" s="2" t="s">
        <v>1428</v>
      </c>
      <c r="C344" s="2" t="s">
        <v>33</v>
      </c>
      <c r="D344" s="3">
        <v>39297</v>
      </c>
      <c r="E344" s="2" t="s">
        <v>1429</v>
      </c>
      <c r="F344" s="2" t="s">
        <v>1430</v>
      </c>
      <c r="G344" s="2" t="s">
        <v>131</v>
      </c>
      <c r="H344" s="2" t="s">
        <v>91</v>
      </c>
      <c r="I344" s="2" t="s">
        <v>18</v>
      </c>
      <c r="J344" s="2" t="s">
        <v>25</v>
      </c>
      <c r="K344" s="2" t="str">
        <f>_xlfn.XLOOKUP(TRIM(Table1[[#This Row],[Membership]]),Sheet2!$A$2:$A$7,Sheet2!$B$2:$B$7,"Checkmanually")</f>
        <v>Silver</v>
      </c>
      <c r="L344" s="3">
        <v>43430</v>
      </c>
    </row>
    <row r="345" spans="1:12" x14ac:dyDescent="0.25">
      <c r="A345" s="2" t="s">
        <v>1431</v>
      </c>
      <c r="B345" s="2" t="s">
        <v>1432</v>
      </c>
      <c r="C345" s="2" t="s">
        <v>33</v>
      </c>
      <c r="D345" s="3">
        <v>28376</v>
      </c>
      <c r="E345" s="2" t="s">
        <v>1433</v>
      </c>
      <c r="F345" s="2" t="s">
        <v>1434</v>
      </c>
      <c r="G345" s="2" t="s">
        <v>273</v>
      </c>
      <c r="H345" s="2" t="s">
        <v>274</v>
      </c>
      <c r="I345" s="2" t="s">
        <v>49</v>
      </c>
      <c r="J345" s="2" t="s">
        <v>19</v>
      </c>
      <c r="K345" s="2" t="str">
        <f>_xlfn.XLOOKUP(TRIM(Table1[[#This Row],[Membership]]),Sheet2!$A$2:$A$7,Sheet2!$B$2:$B$7,"Checkmanually")</f>
        <v>Bronze</v>
      </c>
      <c r="L345" s="3">
        <v>45934</v>
      </c>
    </row>
    <row r="346" spans="1:12" x14ac:dyDescent="0.25">
      <c r="A346" s="2" t="s">
        <v>1435</v>
      </c>
      <c r="B346" s="2" t="s">
        <v>1436</v>
      </c>
      <c r="C346" s="2" t="s">
        <v>33</v>
      </c>
      <c r="D346" s="3">
        <v>32633</v>
      </c>
      <c r="E346" s="2" t="s">
        <v>1437</v>
      </c>
      <c r="F346" s="2" t="s">
        <v>1438</v>
      </c>
      <c r="G346" s="2" t="s">
        <v>84</v>
      </c>
      <c r="H346" s="2" t="s">
        <v>85</v>
      </c>
      <c r="I346" s="2" t="s">
        <v>18</v>
      </c>
      <c r="J346" s="2" t="s">
        <v>19</v>
      </c>
      <c r="K346" s="2" t="str">
        <f>_xlfn.XLOOKUP(TRIM(Table1[[#This Row],[Membership]]),Sheet2!$A$2:$A$7,Sheet2!$B$2:$B$7,"Checkmanually")</f>
        <v>Bronze</v>
      </c>
      <c r="L346" s="3">
        <v>45501</v>
      </c>
    </row>
    <row r="347" spans="1:12" x14ac:dyDescent="0.25">
      <c r="A347" s="2" t="s">
        <v>1439</v>
      </c>
      <c r="B347" s="2" t="s">
        <v>1440</v>
      </c>
      <c r="C347" s="2" t="s">
        <v>13</v>
      </c>
      <c r="D347" s="3">
        <v>38853</v>
      </c>
      <c r="E347" s="2" t="s">
        <v>1441</v>
      </c>
      <c r="F347" s="2" t="s">
        <v>1442</v>
      </c>
      <c r="G347" s="2" t="s">
        <v>63</v>
      </c>
      <c r="H347" s="2" t="s">
        <v>17</v>
      </c>
      <c r="I347" s="2" t="s">
        <v>18</v>
      </c>
      <c r="J347" s="2" t="s">
        <v>183</v>
      </c>
      <c r="K347" s="2" t="str">
        <f>_xlfn.XLOOKUP(TRIM(Table1[[#This Row],[Membership]]),Sheet2!$A$2:$A$7,Sheet2!$B$2:$B$7,"Checkmanually")</f>
        <v>Gold</v>
      </c>
      <c r="L347" s="3">
        <v>44511</v>
      </c>
    </row>
    <row r="348" spans="1:12" x14ac:dyDescent="0.25">
      <c r="A348" s="2" t="s">
        <v>1443</v>
      </c>
      <c r="B348" s="2" t="s">
        <v>1444</v>
      </c>
      <c r="C348" s="2" t="s">
        <v>33</v>
      </c>
      <c r="D348" s="3">
        <v>33130</v>
      </c>
      <c r="E348" s="2" t="s">
        <v>1445</v>
      </c>
      <c r="F348" s="2" t="s">
        <v>1446</v>
      </c>
      <c r="G348" s="2" t="s">
        <v>54</v>
      </c>
      <c r="H348" s="2" t="s">
        <v>17</v>
      </c>
      <c r="I348" s="2" t="s">
        <v>18</v>
      </c>
      <c r="J348" s="2" t="s">
        <v>19</v>
      </c>
      <c r="K348" s="2" t="str">
        <f>_xlfn.XLOOKUP(TRIM(Table1[[#This Row],[Membership]]),Sheet2!$A$2:$A$7,Sheet2!$B$2:$B$7,"Checkmanually")</f>
        <v>Bronze</v>
      </c>
      <c r="L348" s="3">
        <v>45964</v>
      </c>
    </row>
    <row r="349" spans="1:12" x14ac:dyDescent="0.25">
      <c r="A349" s="2" t="s">
        <v>1447</v>
      </c>
      <c r="B349" s="2" t="s">
        <v>1448</v>
      </c>
      <c r="C349" s="2" t="s">
        <v>33</v>
      </c>
      <c r="D349" s="3">
        <v>20141</v>
      </c>
      <c r="E349" s="2" t="s">
        <v>1449</v>
      </c>
      <c r="F349" s="2" t="s">
        <v>1450</v>
      </c>
      <c r="G349" s="2" t="s">
        <v>228</v>
      </c>
      <c r="H349" s="2" t="s">
        <v>17</v>
      </c>
      <c r="I349" s="2" t="s">
        <v>18</v>
      </c>
      <c r="J349" s="2" t="s">
        <v>19</v>
      </c>
      <c r="K349" s="2" t="str">
        <f>_xlfn.XLOOKUP(TRIM(Table1[[#This Row],[Membership]]),Sheet2!$A$2:$A$7,Sheet2!$B$2:$B$7,"Checkmanually")</f>
        <v>Bronze</v>
      </c>
      <c r="L349" s="3">
        <v>43497</v>
      </c>
    </row>
    <row r="350" spans="1:12" x14ac:dyDescent="0.25">
      <c r="A350" s="2" t="s">
        <v>1451</v>
      </c>
      <c r="B350" s="2" t="s">
        <v>1452</v>
      </c>
      <c r="C350" s="2" t="s">
        <v>13</v>
      </c>
      <c r="D350" s="3">
        <v>29538</v>
      </c>
      <c r="E350" s="2" t="s">
        <v>1453</v>
      </c>
      <c r="F350" s="2" t="s">
        <v>1454</v>
      </c>
      <c r="G350" s="2" t="s">
        <v>131</v>
      </c>
      <c r="H350" s="2" t="s">
        <v>91</v>
      </c>
      <c r="I350" s="2" t="s">
        <v>18</v>
      </c>
      <c r="J350" s="2" t="s">
        <v>25</v>
      </c>
      <c r="K350" s="2" t="str">
        <f>_xlfn.XLOOKUP(TRIM(Table1[[#This Row],[Membership]]),Sheet2!$A$2:$A$7,Sheet2!$B$2:$B$7,"Checkmanually")</f>
        <v>Silver</v>
      </c>
      <c r="L350" s="3">
        <v>44866</v>
      </c>
    </row>
    <row r="351" spans="1:12" x14ac:dyDescent="0.25">
      <c r="A351" s="2" t="s">
        <v>1455</v>
      </c>
      <c r="B351" s="2" t="s">
        <v>1456</v>
      </c>
      <c r="C351" s="2" t="s">
        <v>33</v>
      </c>
      <c r="D351" s="3">
        <v>26578</v>
      </c>
      <c r="E351" s="2" t="s">
        <v>1457</v>
      </c>
      <c r="F351" s="2" t="s">
        <v>1458</v>
      </c>
      <c r="G351" s="2" t="s">
        <v>228</v>
      </c>
      <c r="H351" s="2" t="s">
        <v>17</v>
      </c>
      <c r="I351" s="2" t="s">
        <v>18</v>
      </c>
      <c r="J351" s="2" t="s">
        <v>19</v>
      </c>
      <c r="K351" s="2" t="str">
        <f>_xlfn.XLOOKUP(TRIM(Table1[[#This Row],[Membership]]),Sheet2!$A$2:$A$7,Sheet2!$B$2:$B$7,"Checkmanually")</f>
        <v>Bronze</v>
      </c>
      <c r="L351" s="3">
        <v>45093</v>
      </c>
    </row>
    <row r="352" spans="1:12" x14ac:dyDescent="0.25">
      <c r="A352" s="2" t="s">
        <v>1459</v>
      </c>
      <c r="B352" s="2" t="s">
        <v>1460</v>
      </c>
      <c r="C352" s="2" t="s">
        <v>13</v>
      </c>
      <c r="D352" s="3">
        <v>27055</v>
      </c>
      <c r="E352" s="2" t="s">
        <v>1461</v>
      </c>
      <c r="F352" s="2" t="s">
        <v>1462</v>
      </c>
      <c r="G352" s="2" t="s">
        <v>63</v>
      </c>
      <c r="H352" s="2" t="s">
        <v>17</v>
      </c>
      <c r="I352" s="2" t="s">
        <v>18</v>
      </c>
      <c r="J352" s="2" t="s">
        <v>25</v>
      </c>
      <c r="K352" s="2" t="str">
        <f>_xlfn.XLOOKUP(TRIM(Table1[[#This Row],[Membership]]),Sheet2!$A$2:$A$7,Sheet2!$B$2:$B$7,"Checkmanually")</f>
        <v>Silver</v>
      </c>
      <c r="L352" s="3">
        <v>43861</v>
      </c>
    </row>
    <row r="353" spans="1:12" x14ac:dyDescent="0.25">
      <c r="A353" s="2" t="s">
        <v>1463</v>
      </c>
      <c r="B353" s="2" t="s">
        <v>1464</v>
      </c>
      <c r="C353" s="2" t="s">
        <v>13</v>
      </c>
      <c r="D353" s="3">
        <v>26377</v>
      </c>
      <c r="E353" s="2" t="s">
        <v>1465</v>
      </c>
      <c r="F353" s="2" t="s">
        <v>1466</v>
      </c>
      <c r="G353" s="2" t="s">
        <v>228</v>
      </c>
      <c r="H353" s="2" t="s">
        <v>17</v>
      </c>
      <c r="I353" s="2" t="s">
        <v>18</v>
      </c>
      <c r="J353" s="2" t="s">
        <v>19</v>
      </c>
      <c r="K353" s="2" t="str">
        <f>_xlfn.XLOOKUP(TRIM(Table1[[#This Row],[Membership]]),Sheet2!$A$2:$A$7,Sheet2!$B$2:$B$7,"Checkmanually")</f>
        <v>Bronze</v>
      </c>
      <c r="L353" s="3">
        <v>44163</v>
      </c>
    </row>
    <row r="354" spans="1:12" x14ac:dyDescent="0.25">
      <c r="A354" s="2" t="s">
        <v>1467</v>
      </c>
      <c r="B354" s="2" t="s">
        <v>1468</v>
      </c>
      <c r="C354" s="2" t="s">
        <v>13</v>
      </c>
      <c r="D354" s="3">
        <v>25533</v>
      </c>
      <c r="E354" s="2" t="s">
        <v>1469</v>
      </c>
      <c r="F354" s="2" t="s">
        <v>1470</v>
      </c>
      <c r="G354" s="2" t="s">
        <v>121</v>
      </c>
      <c r="H354" s="2" t="s">
        <v>122</v>
      </c>
      <c r="I354" s="2" t="s">
        <v>18</v>
      </c>
      <c r="J354" s="2" t="s">
        <v>183</v>
      </c>
      <c r="K354" s="2" t="str">
        <f>_xlfn.XLOOKUP(TRIM(Table1[[#This Row],[Membership]]),Sheet2!$A$2:$A$7,Sheet2!$B$2:$B$7,"Checkmanually")</f>
        <v>Gold</v>
      </c>
      <c r="L354" s="3">
        <v>43427</v>
      </c>
    </row>
    <row r="355" spans="1:12" x14ac:dyDescent="0.25">
      <c r="A355" s="2" t="s">
        <v>1471</v>
      </c>
      <c r="B355" s="2" t="s">
        <v>1472</v>
      </c>
      <c r="C355" s="2" t="s">
        <v>13</v>
      </c>
      <c r="D355" s="3">
        <v>31301</v>
      </c>
      <c r="E355" s="2" t="s">
        <v>1473</v>
      </c>
      <c r="F355" s="2" t="s">
        <v>1474</v>
      </c>
      <c r="G355" s="2" t="s">
        <v>63</v>
      </c>
      <c r="H355" s="2" t="s">
        <v>17</v>
      </c>
      <c r="I355" s="2" t="s">
        <v>18</v>
      </c>
      <c r="J355" s="2" t="s">
        <v>25</v>
      </c>
      <c r="K355" s="2" t="str">
        <f>_xlfn.XLOOKUP(TRIM(Table1[[#This Row],[Membership]]),Sheet2!$A$2:$A$7,Sheet2!$B$2:$B$7,"Checkmanually")</f>
        <v>Silver</v>
      </c>
      <c r="L355" s="3">
        <v>43222</v>
      </c>
    </row>
    <row r="356" spans="1:12" x14ac:dyDescent="0.25">
      <c r="A356" s="2" t="s">
        <v>1475</v>
      </c>
      <c r="B356" s="2" t="s">
        <v>1476</v>
      </c>
      <c r="C356" s="2" t="s">
        <v>33</v>
      </c>
      <c r="D356" s="3">
        <v>23393</v>
      </c>
      <c r="E356" s="2" t="s">
        <v>1477</v>
      </c>
      <c r="F356" s="2" t="s">
        <v>1478</v>
      </c>
      <c r="G356" s="2" t="s">
        <v>90</v>
      </c>
      <c r="H356" s="2" t="s">
        <v>91</v>
      </c>
      <c r="I356" s="2" t="s">
        <v>18</v>
      </c>
      <c r="J356" s="2" t="s">
        <v>19</v>
      </c>
      <c r="K356" s="2" t="str">
        <f>_xlfn.XLOOKUP(TRIM(Table1[[#This Row],[Membership]]),Sheet2!$A$2:$A$7,Sheet2!$B$2:$B$7,"Checkmanually")</f>
        <v>Bronze</v>
      </c>
      <c r="L356" s="3">
        <v>43139</v>
      </c>
    </row>
    <row r="357" spans="1:12" x14ac:dyDescent="0.25">
      <c r="A357" s="2" t="s">
        <v>1479</v>
      </c>
      <c r="B357" s="2" t="s">
        <v>1480</v>
      </c>
      <c r="C357" s="2" t="s">
        <v>13</v>
      </c>
      <c r="D357" s="3">
        <v>21461</v>
      </c>
      <c r="E357" s="2" t="s">
        <v>1481</v>
      </c>
      <c r="F357" s="2" t="s">
        <v>1482</v>
      </c>
      <c r="G357" s="2" t="s">
        <v>16</v>
      </c>
      <c r="H357" s="2" t="s">
        <v>17</v>
      </c>
      <c r="I357" s="2" t="s">
        <v>18</v>
      </c>
      <c r="J357" s="2" t="s">
        <v>19</v>
      </c>
      <c r="K357" s="2" t="str">
        <f>_xlfn.XLOOKUP(TRIM(Table1[[#This Row],[Membership]]),Sheet2!$A$2:$A$7,Sheet2!$B$2:$B$7,"Checkmanually")</f>
        <v>Bronze</v>
      </c>
      <c r="L357" s="3">
        <v>43497</v>
      </c>
    </row>
    <row r="358" spans="1:12" x14ac:dyDescent="0.25">
      <c r="A358" s="2" t="s">
        <v>1483</v>
      </c>
      <c r="B358" s="2" t="s">
        <v>1484</v>
      </c>
      <c r="C358" s="2" t="s">
        <v>33</v>
      </c>
      <c r="D358" s="3">
        <v>37131</v>
      </c>
      <c r="E358" s="2" t="s">
        <v>1485</v>
      </c>
      <c r="F358" s="2" t="s">
        <v>1486</v>
      </c>
      <c r="G358" s="2" t="s">
        <v>16</v>
      </c>
      <c r="H358" s="2" t="s">
        <v>17</v>
      </c>
      <c r="I358" s="2" t="s">
        <v>18</v>
      </c>
      <c r="J358" s="2" t="s">
        <v>25</v>
      </c>
      <c r="K358" s="2" t="str">
        <f>_xlfn.XLOOKUP(TRIM(Table1[[#This Row],[Membership]]),Sheet2!$A$2:$A$7,Sheet2!$B$2:$B$7,"Checkmanually")</f>
        <v>Silver</v>
      </c>
      <c r="L358" s="3">
        <v>44189</v>
      </c>
    </row>
    <row r="359" spans="1:12" x14ac:dyDescent="0.25">
      <c r="A359" s="2" t="s">
        <v>1487</v>
      </c>
      <c r="B359" s="2" t="s">
        <v>2869</v>
      </c>
      <c r="C359" s="2" t="s">
        <v>13</v>
      </c>
      <c r="D359" s="3">
        <v>31118</v>
      </c>
      <c r="E359" s="2" t="s">
        <v>1488</v>
      </c>
      <c r="F359" s="2" t="s">
        <v>1489</v>
      </c>
      <c r="G359" s="2" t="s">
        <v>24</v>
      </c>
      <c r="H359" s="2" t="s">
        <v>17</v>
      </c>
      <c r="I359" s="2" t="s">
        <v>18</v>
      </c>
      <c r="J359" s="2" t="s">
        <v>19</v>
      </c>
      <c r="K359" s="2" t="str">
        <f>_xlfn.XLOOKUP(TRIM(Table1[[#This Row],[Membership]]),Sheet2!$A$2:$A$7,Sheet2!$B$2:$B$7,"Checkmanually")</f>
        <v>Bronze</v>
      </c>
      <c r="L359" s="3">
        <v>44619</v>
      </c>
    </row>
    <row r="360" spans="1:12" x14ac:dyDescent="0.25">
      <c r="A360" s="2" t="s">
        <v>1490</v>
      </c>
      <c r="B360" s="2" t="s">
        <v>1491</v>
      </c>
      <c r="C360" s="2" t="s">
        <v>33</v>
      </c>
      <c r="D360" s="3">
        <v>33147</v>
      </c>
      <c r="E360" s="2" t="s">
        <v>1492</v>
      </c>
      <c r="F360" s="2" t="s">
        <v>1493</v>
      </c>
      <c r="G360" s="2" t="s">
        <v>273</v>
      </c>
      <c r="H360" s="2" t="s">
        <v>274</v>
      </c>
      <c r="I360" s="2" t="s">
        <v>49</v>
      </c>
      <c r="J360" s="2" t="s">
        <v>19</v>
      </c>
      <c r="K360" s="2" t="str">
        <f>_xlfn.XLOOKUP(TRIM(Table1[[#This Row],[Membership]]),Sheet2!$A$2:$A$7,Sheet2!$B$2:$B$7,"Checkmanually")</f>
        <v>Bronze</v>
      </c>
      <c r="L360" s="3">
        <v>44651</v>
      </c>
    </row>
    <row r="361" spans="1:12" x14ac:dyDescent="0.25">
      <c r="A361" s="2" t="s">
        <v>1494</v>
      </c>
      <c r="B361" s="2" t="s">
        <v>1495</v>
      </c>
      <c r="C361" s="2" t="s">
        <v>33</v>
      </c>
      <c r="D361" s="3">
        <v>23372</v>
      </c>
      <c r="E361" s="2" t="s">
        <v>1496</v>
      </c>
      <c r="F361" s="2" t="s">
        <v>1497</v>
      </c>
      <c r="G361" s="2" t="s">
        <v>24</v>
      </c>
      <c r="H361" s="2" t="s">
        <v>17</v>
      </c>
      <c r="I361" s="2" t="s">
        <v>18</v>
      </c>
      <c r="J361" s="2" t="s">
        <v>19</v>
      </c>
      <c r="K361" s="2" t="str">
        <f>_xlfn.XLOOKUP(TRIM(Table1[[#This Row],[Membership]]),Sheet2!$A$2:$A$7,Sheet2!$B$2:$B$7,"Checkmanually")</f>
        <v>Bronze</v>
      </c>
      <c r="L361" s="3">
        <v>43113</v>
      </c>
    </row>
    <row r="362" spans="1:12" x14ac:dyDescent="0.25">
      <c r="A362" s="2" t="s">
        <v>1498</v>
      </c>
      <c r="B362" s="2" t="s">
        <v>1499</v>
      </c>
      <c r="C362" s="2" t="s">
        <v>33</v>
      </c>
      <c r="D362" s="3">
        <v>24117</v>
      </c>
      <c r="E362" s="2" t="s">
        <v>1500</v>
      </c>
      <c r="F362" s="2" t="s">
        <v>1501</v>
      </c>
      <c r="G362" s="2" t="s">
        <v>273</v>
      </c>
      <c r="H362" s="2" t="s">
        <v>274</v>
      </c>
      <c r="I362" s="2" t="s">
        <v>49</v>
      </c>
      <c r="J362" s="2" t="s">
        <v>183</v>
      </c>
      <c r="K362" s="2" t="str">
        <f>_xlfn.XLOOKUP(TRIM(Table1[[#This Row],[Membership]]),Sheet2!$A$2:$A$7,Sheet2!$B$2:$B$7,"Checkmanually")</f>
        <v>Gold</v>
      </c>
      <c r="L362" s="3">
        <v>45274</v>
      </c>
    </row>
    <row r="363" spans="1:12" x14ac:dyDescent="0.25">
      <c r="A363" s="2" t="s">
        <v>1502</v>
      </c>
      <c r="B363" s="2" t="s">
        <v>1503</v>
      </c>
      <c r="C363" s="2" t="s">
        <v>13</v>
      </c>
      <c r="D363" s="3">
        <v>35661</v>
      </c>
      <c r="E363" s="2" t="s">
        <v>1504</v>
      </c>
      <c r="F363" s="2" t="s">
        <v>1505</v>
      </c>
      <c r="G363" s="2" t="s">
        <v>144</v>
      </c>
      <c r="H363" s="2" t="s">
        <v>145</v>
      </c>
      <c r="I363" s="2" t="s">
        <v>146</v>
      </c>
      <c r="J363" s="2" t="s">
        <v>25</v>
      </c>
      <c r="K363" s="2" t="str">
        <f>_xlfn.XLOOKUP(TRIM(Table1[[#This Row],[Membership]]),Sheet2!$A$2:$A$7,Sheet2!$B$2:$B$7,"Checkmanually")</f>
        <v>Silver</v>
      </c>
      <c r="L363" s="3">
        <v>45210</v>
      </c>
    </row>
    <row r="364" spans="1:12" x14ac:dyDescent="0.25">
      <c r="A364" s="2" t="s">
        <v>1506</v>
      </c>
      <c r="B364" s="2" t="s">
        <v>1507</v>
      </c>
      <c r="C364" s="2" t="s">
        <v>33</v>
      </c>
      <c r="D364" s="3">
        <v>30647</v>
      </c>
      <c r="E364" s="2" t="s">
        <v>1508</v>
      </c>
      <c r="F364" s="2" t="s">
        <v>1509</v>
      </c>
      <c r="G364" s="2" t="s">
        <v>16</v>
      </c>
      <c r="H364" s="2" t="s">
        <v>17</v>
      </c>
      <c r="I364" s="2" t="s">
        <v>18</v>
      </c>
      <c r="J364" s="2" t="s">
        <v>19</v>
      </c>
      <c r="K364" s="2" t="str">
        <f>_xlfn.XLOOKUP(TRIM(Table1[[#This Row],[Membership]]),Sheet2!$A$2:$A$7,Sheet2!$B$2:$B$7,"Checkmanually")</f>
        <v>Bronze</v>
      </c>
      <c r="L364" s="3">
        <v>43169</v>
      </c>
    </row>
    <row r="365" spans="1:12" x14ac:dyDescent="0.25">
      <c r="A365" s="2" t="s">
        <v>1510</v>
      </c>
      <c r="B365" s="2" t="s">
        <v>1511</v>
      </c>
      <c r="C365" s="2" t="s">
        <v>33</v>
      </c>
      <c r="D365" s="3">
        <v>30756</v>
      </c>
      <c r="E365" s="2" t="s">
        <v>1512</v>
      </c>
      <c r="F365" s="2" t="s">
        <v>1513</v>
      </c>
      <c r="G365" s="2" t="s">
        <v>16</v>
      </c>
      <c r="H365" s="2" t="s">
        <v>17</v>
      </c>
      <c r="I365" s="2" t="s">
        <v>18</v>
      </c>
      <c r="J365" s="2" t="s">
        <v>19</v>
      </c>
      <c r="K365" s="2" t="str">
        <f>_xlfn.XLOOKUP(TRIM(Table1[[#This Row],[Membership]]),Sheet2!$A$2:$A$7,Sheet2!$B$2:$B$7,"Checkmanually")</f>
        <v>Bronze</v>
      </c>
      <c r="L365" s="3">
        <v>45877</v>
      </c>
    </row>
    <row r="366" spans="1:12" x14ac:dyDescent="0.25">
      <c r="A366" s="2" t="s">
        <v>1514</v>
      </c>
      <c r="B366" s="2" t="s">
        <v>1515</v>
      </c>
      <c r="C366" s="2" t="s">
        <v>13</v>
      </c>
      <c r="D366" s="3">
        <v>22756</v>
      </c>
      <c r="E366" s="2" t="s">
        <v>1516</v>
      </c>
      <c r="F366" s="2" t="s">
        <v>1517</v>
      </c>
      <c r="G366" s="2" t="s">
        <v>90</v>
      </c>
      <c r="H366" s="2" t="s">
        <v>91</v>
      </c>
      <c r="I366" s="2" t="s">
        <v>18</v>
      </c>
      <c r="J366" s="2" t="s">
        <v>25</v>
      </c>
      <c r="K366" s="2" t="str">
        <f>_xlfn.XLOOKUP(TRIM(Table1[[#This Row],[Membership]]),Sheet2!$A$2:$A$7,Sheet2!$B$2:$B$7,"Checkmanually")</f>
        <v>Silver</v>
      </c>
      <c r="L366" s="3">
        <v>44527</v>
      </c>
    </row>
    <row r="367" spans="1:12" x14ac:dyDescent="0.25">
      <c r="A367" s="2" t="s">
        <v>1518</v>
      </c>
      <c r="B367" s="2" t="s">
        <v>1519</v>
      </c>
      <c r="C367" s="2" t="s">
        <v>13</v>
      </c>
      <c r="D367" s="3">
        <v>29719</v>
      </c>
      <c r="E367" s="2" t="s">
        <v>1520</v>
      </c>
      <c r="F367" s="2" t="s">
        <v>1521</v>
      </c>
      <c r="G367" s="2" t="s">
        <v>193</v>
      </c>
      <c r="H367" s="2" t="s">
        <v>193</v>
      </c>
      <c r="I367" s="2" t="s">
        <v>49</v>
      </c>
      <c r="J367" s="2" t="s">
        <v>19</v>
      </c>
      <c r="K367" s="2" t="str">
        <f>_xlfn.XLOOKUP(TRIM(Table1[[#This Row],[Membership]]),Sheet2!$A$2:$A$7,Sheet2!$B$2:$B$7,"Checkmanually")</f>
        <v>Bronze</v>
      </c>
      <c r="L367" s="3">
        <v>45587</v>
      </c>
    </row>
    <row r="368" spans="1:12" x14ac:dyDescent="0.25">
      <c r="A368" s="2" t="s">
        <v>1522</v>
      </c>
      <c r="B368" s="2" t="s">
        <v>1523</v>
      </c>
      <c r="C368" s="2" t="s">
        <v>33</v>
      </c>
      <c r="D368" s="3">
        <v>36625</v>
      </c>
      <c r="E368" s="2" t="s">
        <v>1524</v>
      </c>
      <c r="F368" s="2" t="s">
        <v>1525</v>
      </c>
      <c r="G368" s="2" t="s">
        <v>84</v>
      </c>
      <c r="H368" s="2" t="s">
        <v>85</v>
      </c>
      <c r="I368" s="2" t="s">
        <v>18</v>
      </c>
      <c r="J368" s="2" t="s">
        <v>19</v>
      </c>
      <c r="K368" s="2" t="str">
        <f>_xlfn.XLOOKUP(TRIM(Table1[[#This Row],[Membership]]),Sheet2!$A$2:$A$7,Sheet2!$B$2:$B$7,"Checkmanually")</f>
        <v>Bronze</v>
      </c>
      <c r="L368" s="3">
        <v>43231</v>
      </c>
    </row>
    <row r="369" spans="1:12" x14ac:dyDescent="0.25">
      <c r="A369" s="2" t="s">
        <v>1526</v>
      </c>
      <c r="B369" s="2" t="s">
        <v>1527</v>
      </c>
      <c r="C369" s="2" t="s">
        <v>13</v>
      </c>
      <c r="D369" s="3">
        <v>38071</v>
      </c>
      <c r="E369" s="2" t="s">
        <v>1528</v>
      </c>
      <c r="F369" s="2" t="s">
        <v>1529</v>
      </c>
      <c r="G369" s="2" t="s">
        <v>63</v>
      </c>
      <c r="H369" s="2" t="s">
        <v>17</v>
      </c>
      <c r="I369" s="2" t="s">
        <v>18</v>
      </c>
      <c r="J369" s="2" t="s">
        <v>25</v>
      </c>
      <c r="K369" s="2" t="str">
        <f>_xlfn.XLOOKUP(TRIM(Table1[[#This Row],[Membership]]),Sheet2!$A$2:$A$7,Sheet2!$B$2:$B$7,"Checkmanually")</f>
        <v>Silver</v>
      </c>
      <c r="L369" s="3">
        <v>45013</v>
      </c>
    </row>
    <row r="370" spans="1:12" x14ac:dyDescent="0.25">
      <c r="A370" s="2" t="s">
        <v>1530</v>
      </c>
      <c r="B370" s="2" t="s">
        <v>1531</v>
      </c>
      <c r="C370" s="2" t="s">
        <v>33</v>
      </c>
      <c r="D370" s="3">
        <v>27983</v>
      </c>
      <c r="E370" s="2" t="s">
        <v>1532</v>
      </c>
      <c r="F370" s="2" t="s">
        <v>1533</v>
      </c>
      <c r="G370" s="2" t="s">
        <v>382</v>
      </c>
      <c r="H370" s="2" t="s">
        <v>145</v>
      </c>
      <c r="I370" s="2" t="s">
        <v>146</v>
      </c>
      <c r="J370" s="2" t="s">
        <v>19</v>
      </c>
      <c r="K370" s="2" t="str">
        <f>_xlfn.XLOOKUP(TRIM(Table1[[#This Row],[Membership]]),Sheet2!$A$2:$A$7,Sheet2!$B$2:$B$7,"Checkmanually")</f>
        <v>Bronze</v>
      </c>
      <c r="L370" s="3">
        <v>44097</v>
      </c>
    </row>
    <row r="371" spans="1:12" x14ac:dyDescent="0.25">
      <c r="A371" s="2" t="s">
        <v>1534</v>
      </c>
      <c r="B371" s="2" t="s">
        <v>1535</v>
      </c>
      <c r="C371" s="2" t="s">
        <v>13</v>
      </c>
      <c r="D371" s="3">
        <v>21047</v>
      </c>
      <c r="E371" s="2" t="s">
        <v>1536</v>
      </c>
      <c r="F371" s="2" t="s">
        <v>1537</v>
      </c>
      <c r="G371" s="2" t="s">
        <v>63</v>
      </c>
      <c r="H371" s="2" t="s">
        <v>17</v>
      </c>
      <c r="I371" s="2" t="s">
        <v>18</v>
      </c>
      <c r="J371" s="2" t="s">
        <v>183</v>
      </c>
      <c r="K371" s="2" t="str">
        <f>_xlfn.XLOOKUP(TRIM(Table1[[#This Row],[Membership]]),Sheet2!$A$2:$A$7,Sheet2!$B$2:$B$7,"Checkmanually")</f>
        <v>Gold</v>
      </c>
      <c r="L371" s="3">
        <v>43757</v>
      </c>
    </row>
    <row r="372" spans="1:12" x14ac:dyDescent="0.25">
      <c r="A372" s="2" t="s">
        <v>1538</v>
      </c>
      <c r="B372" s="2" t="s">
        <v>1539</v>
      </c>
      <c r="C372" s="2" t="s">
        <v>13</v>
      </c>
      <c r="D372" s="3">
        <v>35697</v>
      </c>
      <c r="E372" s="2" t="s">
        <v>1540</v>
      </c>
      <c r="F372" s="2" t="s">
        <v>1541</v>
      </c>
      <c r="G372" s="2" t="s">
        <v>273</v>
      </c>
      <c r="H372" s="2" t="s">
        <v>274</v>
      </c>
      <c r="I372" s="2" t="s">
        <v>49</v>
      </c>
      <c r="J372" s="2" t="s">
        <v>19</v>
      </c>
      <c r="K372" s="2" t="str">
        <f>_xlfn.XLOOKUP(TRIM(Table1[[#This Row],[Membership]]),Sheet2!$A$2:$A$7,Sheet2!$B$2:$B$7,"Checkmanually")</f>
        <v>Bronze</v>
      </c>
      <c r="L372" s="3">
        <v>45847</v>
      </c>
    </row>
    <row r="373" spans="1:12" x14ac:dyDescent="0.25">
      <c r="A373" s="2" t="s">
        <v>1542</v>
      </c>
      <c r="B373" s="2" t="s">
        <v>1543</v>
      </c>
      <c r="C373" s="2" t="s">
        <v>13</v>
      </c>
      <c r="D373" s="3">
        <v>36210</v>
      </c>
      <c r="E373" s="2" t="s">
        <v>1544</v>
      </c>
      <c r="F373" s="2" t="s">
        <v>1545</v>
      </c>
      <c r="G373" s="2" t="s">
        <v>84</v>
      </c>
      <c r="H373" s="2" t="s">
        <v>85</v>
      </c>
      <c r="I373" s="2" t="s">
        <v>18</v>
      </c>
      <c r="J373" s="2" t="s">
        <v>19</v>
      </c>
      <c r="K373" s="2" t="str">
        <f>_xlfn.XLOOKUP(TRIM(Table1[[#This Row],[Membership]]),Sheet2!$A$2:$A$7,Sheet2!$B$2:$B$7,"Checkmanually")</f>
        <v>Bronze</v>
      </c>
      <c r="L373" s="3">
        <v>43471</v>
      </c>
    </row>
    <row r="374" spans="1:12" x14ac:dyDescent="0.25">
      <c r="A374" s="2" t="s">
        <v>1546</v>
      </c>
      <c r="B374" s="2" t="s">
        <v>1547</v>
      </c>
      <c r="C374" s="2" t="s">
        <v>13</v>
      </c>
      <c r="D374" s="3">
        <v>22209</v>
      </c>
      <c r="E374" s="2" t="s">
        <v>1548</v>
      </c>
      <c r="F374" s="2" t="s">
        <v>1549</v>
      </c>
      <c r="G374" s="2" t="s">
        <v>54</v>
      </c>
      <c r="H374" s="2" t="s">
        <v>17</v>
      </c>
      <c r="I374" s="2" t="s">
        <v>18</v>
      </c>
      <c r="J374" s="2" t="s">
        <v>19</v>
      </c>
      <c r="K374" s="2" t="str">
        <f>_xlfn.XLOOKUP(TRIM(Table1[[#This Row],[Membership]]),Sheet2!$A$2:$A$7,Sheet2!$B$2:$B$7,"Checkmanually")</f>
        <v>Bronze</v>
      </c>
      <c r="L374" s="3">
        <v>45738</v>
      </c>
    </row>
    <row r="375" spans="1:12" x14ac:dyDescent="0.25">
      <c r="A375" s="2" t="s">
        <v>1550</v>
      </c>
      <c r="B375" s="2" t="s">
        <v>1551</v>
      </c>
      <c r="C375" s="2" t="s">
        <v>13</v>
      </c>
      <c r="D375" s="3">
        <v>38502</v>
      </c>
      <c r="E375" s="2" t="s">
        <v>1552</v>
      </c>
      <c r="F375" s="2" t="s">
        <v>1553</v>
      </c>
      <c r="G375" s="2" t="s">
        <v>131</v>
      </c>
      <c r="H375" s="2" t="s">
        <v>91</v>
      </c>
      <c r="I375" s="2" t="s">
        <v>18</v>
      </c>
      <c r="J375" s="2" t="s">
        <v>19</v>
      </c>
      <c r="K375" s="2" t="str">
        <f>_xlfn.XLOOKUP(TRIM(Table1[[#This Row],[Membership]]),Sheet2!$A$2:$A$7,Sheet2!$B$2:$B$7,"Checkmanually")</f>
        <v>Bronze</v>
      </c>
      <c r="L375" s="3">
        <v>44890</v>
      </c>
    </row>
    <row r="376" spans="1:12" x14ac:dyDescent="0.25">
      <c r="A376" s="2" t="s">
        <v>1554</v>
      </c>
      <c r="B376" s="2" t="s">
        <v>1555</v>
      </c>
      <c r="C376" s="2" t="s">
        <v>33</v>
      </c>
      <c r="D376" s="3">
        <v>22963</v>
      </c>
      <c r="E376" s="2" t="s">
        <v>1556</v>
      </c>
      <c r="F376" s="2" t="s">
        <v>1557</v>
      </c>
      <c r="G376" s="2" t="s">
        <v>30</v>
      </c>
      <c r="H376" s="2" t="s">
        <v>17</v>
      </c>
      <c r="I376" s="2" t="s">
        <v>18</v>
      </c>
      <c r="J376" s="2" t="s">
        <v>1558</v>
      </c>
      <c r="K376" s="2" t="str">
        <f>_xlfn.XLOOKUP(TRIM(Table1[[#This Row],[Membership]]),Sheet2!$A$2:$A$7,Sheet2!$B$2:$B$7,"Checkmanually")</f>
        <v>Bronze</v>
      </c>
      <c r="L376" s="3">
        <v>43557</v>
      </c>
    </row>
    <row r="377" spans="1:12" x14ac:dyDescent="0.25">
      <c r="A377" s="2" t="s">
        <v>1559</v>
      </c>
      <c r="B377" s="2" t="s">
        <v>1560</v>
      </c>
      <c r="C377" s="2" t="s">
        <v>33</v>
      </c>
      <c r="D377" s="3">
        <v>23894</v>
      </c>
      <c r="E377" s="2" t="s">
        <v>1561</v>
      </c>
      <c r="F377" s="2" t="s">
        <v>1562</v>
      </c>
      <c r="G377" s="2" t="s">
        <v>121</v>
      </c>
      <c r="H377" s="2" t="s">
        <v>122</v>
      </c>
      <c r="I377" s="2" t="s">
        <v>18</v>
      </c>
      <c r="J377" s="2" t="s">
        <v>19</v>
      </c>
      <c r="K377" s="2" t="str">
        <f>_xlfn.XLOOKUP(TRIM(Table1[[#This Row],[Membership]]),Sheet2!$A$2:$A$7,Sheet2!$B$2:$B$7,"Checkmanually")</f>
        <v>Bronze</v>
      </c>
      <c r="L377" s="3">
        <v>45447</v>
      </c>
    </row>
    <row r="378" spans="1:12" x14ac:dyDescent="0.25">
      <c r="A378" s="2" t="s">
        <v>1563</v>
      </c>
      <c r="B378" s="2" t="s">
        <v>1564</v>
      </c>
      <c r="C378" s="2" t="s">
        <v>13</v>
      </c>
      <c r="D378" s="3">
        <v>38994</v>
      </c>
      <c r="E378" s="2" t="s">
        <v>1565</v>
      </c>
      <c r="F378" s="2" t="s">
        <v>1566</v>
      </c>
      <c r="G378" s="2" t="s">
        <v>24</v>
      </c>
      <c r="H378" s="2" t="s">
        <v>17</v>
      </c>
      <c r="I378" s="2" t="s">
        <v>18</v>
      </c>
      <c r="J378" s="2" t="s">
        <v>19</v>
      </c>
      <c r="K378" s="2" t="str">
        <f>_xlfn.XLOOKUP(TRIM(Table1[[#This Row],[Membership]]),Sheet2!$A$2:$A$7,Sheet2!$B$2:$B$7,"Checkmanually")</f>
        <v>Bronze</v>
      </c>
      <c r="L378" s="3">
        <v>43107</v>
      </c>
    </row>
    <row r="379" spans="1:12" x14ac:dyDescent="0.25">
      <c r="A379" s="2" t="s">
        <v>1567</v>
      </c>
      <c r="B379" s="2" t="s">
        <v>1568</v>
      </c>
      <c r="C379" s="2" t="s">
        <v>13</v>
      </c>
      <c r="D379" s="3">
        <v>32808</v>
      </c>
      <c r="E379" s="2" t="s">
        <v>1569</v>
      </c>
      <c r="F379" s="2" t="s">
        <v>1570</v>
      </c>
      <c r="G379" s="2" t="s">
        <v>84</v>
      </c>
      <c r="H379" s="2" t="s">
        <v>85</v>
      </c>
      <c r="I379" s="2" t="s">
        <v>18</v>
      </c>
      <c r="J379" s="2" t="s">
        <v>183</v>
      </c>
      <c r="K379" s="2" t="str">
        <f>_xlfn.XLOOKUP(TRIM(Table1[[#This Row],[Membership]]),Sheet2!$A$2:$A$7,Sheet2!$B$2:$B$7,"Checkmanually")</f>
        <v>Gold</v>
      </c>
      <c r="L379" s="3">
        <v>44836</v>
      </c>
    </row>
    <row r="380" spans="1:12" x14ac:dyDescent="0.25">
      <c r="A380" s="2" t="s">
        <v>1571</v>
      </c>
      <c r="B380" s="2" t="s">
        <v>1572</v>
      </c>
      <c r="C380" s="2" t="s">
        <v>13</v>
      </c>
      <c r="D380" s="3">
        <v>27369</v>
      </c>
      <c r="E380" s="2" t="s">
        <v>1573</v>
      </c>
      <c r="F380" s="2" t="s">
        <v>1574</v>
      </c>
      <c r="G380" s="2" t="s">
        <v>228</v>
      </c>
      <c r="H380" s="2" t="s">
        <v>17</v>
      </c>
      <c r="I380" s="2" t="s">
        <v>18</v>
      </c>
      <c r="J380" s="2" t="s">
        <v>25</v>
      </c>
      <c r="K380" s="2" t="str">
        <f>_xlfn.XLOOKUP(TRIM(Table1[[#This Row],[Membership]]),Sheet2!$A$2:$A$7,Sheet2!$B$2:$B$7,"Checkmanually")</f>
        <v>Silver</v>
      </c>
      <c r="L380" s="3">
        <v>43537</v>
      </c>
    </row>
    <row r="381" spans="1:12" x14ac:dyDescent="0.25">
      <c r="A381" s="2" t="s">
        <v>1575</v>
      </c>
      <c r="B381" s="2" t="s">
        <v>1576</v>
      </c>
      <c r="C381" s="2" t="s">
        <v>33</v>
      </c>
      <c r="D381" s="3">
        <v>29816</v>
      </c>
      <c r="E381" s="2" t="s">
        <v>1577</v>
      </c>
      <c r="F381" s="2" t="s">
        <v>1578</v>
      </c>
      <c r="G381" s="2" t="s">
        <v>90</v>
      </c>
      <c r="H381" s="2" t="s">
        <v>91</v>
      </c>
      <c r="I381" s="2" t="s">
        <v>18</v>
      </c>
      <c r="J381" s="2" t="s">
        <v>25</v>
      </c>
      <c r="K381" s="2" t="str">
        <f>_xlfn.XLOOKUP(TRIM(Table1[[#This Row],[Membership]]),Sheet2!$A$2:$A$7,Sheet2!$B$2:$B$7,"Checkmanually")</f>
        <v>Silver</v>
      </c>
      <c r="L381" s="3">
        <v>43997</v>
      </c>
    </row>
    <row r="382" spans="1:12" x14ac:dyDescent="0.25">
      <c r="A382" s="2" t="s">
        <v>1579</v>
      </c>
      <c r="B382" s="2" t="s">
        <v>1580</v>
      </c>
      <c r="C382" s="2" t="s">
        <v>33</v>
      </c>
      <c r="D382" s="3">
        <v>24869</v>
      </c>
      <c r="E382" s="2" t="s">
        <v>1581</v>
      </c>
      <c r="F382" s="2" t="s">
        <v>1582</v>
      </c>
      <c r="G382" s="2" t="s">
        <v>228</v>
      </c>
      <c r="H382" s="2" t="s">
        <v>17</v>
      </c>
      <c r="I382" s="2" t="s">
        <v>18</v>
      </c>
      <c r="J382" s="2" t="s">
        <v>19</v>
      </c>
      <c r="K382" s="2" t="str">
        <f>_xlfn.XLOOKUP(TRIM(Table1[[#This Row],[Membership]]),Sheet2!$A$2:$A$7,Sheet2!$B$2:$B$7,"Checkmanually")</f>
        <v>Bronze</v>
      </c>
      <c r="L382" s="3">
        <v>45826</v>
      </c>
    </row>
    <row r="383" spans="1:12" x14ac:dyDescent="0.25">
      <c r="A383" s="2" t="s">
        <v>1583</v>
      </c>
      <c r="B383" s="2" t="s">
        <v>1584</v>
      </c>
      <c r="C383" s="2" t="s">
        <v>13</v>
      </c>
      <c r="D383" s="3">
        <v>30211</v>
      </c>
      <c r="E383" s="2" t="s">
        <v>1585</v>
      </c>
      <c r="F383" s="2" t="s">
        <v>1586</v>
      </c>
      <c r="G383" s="2" t="s">
        <v>16</v>
      </c>
      <c r="H383" s="2" t="s">
        <v>17</v>
      </c>
      <c r="I383" s="2" t="s">
        <v>18</v>
      </c>
      <c r="J383" s="2" t="s">
        <v>19</v>
      </c>
      <c r="K383" s="2" t="str">
        <f>_xlfn.XLOOKUP(TRIM(Table1[[#This Row],[Membership]]),Sheet2!$A$2:$A$7,Sheet2!$B$2:$B$7,"Checkmanually")</f>
        <v>Bronze</v>
      </c>
      <c r="L383" s="3">
        <v>45158</v>
      </c>
    </row>
    <row r="384" spans="1:12" x14ac:dyDescent="0.25">
      <c r="A384" s="2" t="s">
        <v>1587</v>
      </c>
      <c r="B384" s="2" t="s">
        <v>1588</v>
      </c>
      <c r="C384" s="2" t="s">
        <v>13</v>
      </c>
      <c r="D384" s="3">
        <v>27158</v>
      </c>
      <c r="E384" s="2" t="s">
        <v>1589</v>
      </c>
      <c r="F384" s="2" t="s">
        <v>1590</v>
      </c>
      <c r="G384" s="2" t="s">
        <v>121</v>
      </c>
      <c r="H384" s="2" t="s">
        <v>122</v>
      </c>
      <c r="I384" s="2" t="s">
        <v>18</v>
      </c>
      <c r="J384" s="2" t="s">
        <v>25</v>
      </c>
      <c r="K384" s="2" t="str">
        <f>_xlfn.XLOOKUP(TRIM(Table1[[#This Row],[Membership]]),Sheet2!$A$2:$A$7,Sheet2!$B$2:$B$7,"Checkmanually")</f>
        <v>Silver</v>
      </c>
      <c r="L384" s="3">
        <v>45128</v>
      </c>
    </row>
    <row r="385" spans="1:12" x14ac:dyDescent="0.25">
      <c r="A385" s="2" t="s">
        <v>1591</v>
      </c>
      <c r="B385" s="2" t="s">
        <v>1592</v>
      </c>
      <c r="C385" s="2" t="s">
        <v>33</v>
      </c>
      <c r="D385" s="3">
        <v>31006</v>
      </c>
      <c r="E385" s="2" t="s">
        <v>1593</v>
      </c>
      <c r="F385" s="2" t="s">
        <v>1594</v>
      </c>
      <c r="G385" s="2" t="s">
        <v>131</v>
      </c>
      <c r="H385" s="2" t="s">
        <v>91</v>
      </c>
      <c r="I385" s="2" t="s">
        <v>18</v>
      </c>
      <c r="J385" s="2" t="s">
        <v>183</v>
      </c>
      <c r="K385" s="2" t="str">
        <f>_xlfn.XLOOKUP(TRIM(Table1[[#This Row],[Membership]]),Sheet2!$A$2:$A$7,Sheet2!$B$2:$B$7,"Checkmanually")</f>
        <v>Gold</v>
      </c>
      <c r="L385" s="3">
        <v>43726</v>
      </c>
    </row>
    <row r="386" spans="1:12" x14ac:dyDescent="0.25">
      <c r="A386" s="2" t="s">
        <v>1595</v>
      </c>
      <c r="B386" s="2" t="s">
        <v>1596</v>
      </c>
      <c r="C386" s="2" t="s">
        <v>33</v>
      </c>
      <c r="D386" s="3">
        <v>21812</v>
      </c>
      <c r="E386" s="2" t="s">
        <v>1597</v>
      </c>
      <c r="F386" s="2" t="s">
        <v>1598</v>
      </c>
      <c r="G386" s="2" t="s">
        <v>54</v>
      </c>
      <c r="H386" s="2" t="s">
        <v>17</v>
      </c>
      <c r="I386" s="2" t="s">
        <v>18</v>
      </c>
      <c r="J386" s="2" t="s">
        <v>19</v>
      </c>
      <c r="K386" s="2" t="str">
        <f>_xlfn.XLOOKUP(TRIM(Table1[[#This Row],[Membership]]),Sheet2!$A$2:$A$7,Sheet2!$B$2:$B$7,"Checkmanually")</f>
        <v>Bronze</v>
      </c>
      <c r="L386" s="3">
        <v>43834</v>
      </c>
    </row>
    <row r="387" spans="1:12" x14ac:dyDescent="0.25">
      <c r="A387" s="2" t="s">
        <v>1599</v>
      </c>
      <c r="B387" s="2" t="s">
        <v>1600</v>
      </c>
      <c r="C387" s="2" t="s">
        <v>13</v>
      </c>
      <c r="D387" s="3">
        <v>25306</v>
      </c>
      <c r="E387" s="2" t="s">
        <v>1601</v>
      </c>
      <c r="F387" s="2" t="s">
        <v>1602</v>
      </c>
      <c r="G387" s="2" t="s">
        <v>30</v>
      </c>
      <c r="H387" s="2" t="s">
        <v>17</v>
      </c>
      <c r="I387" s="2" t="s">
        <v>18</v>
      </c>
      <c r="J387" s="2" t="s">
        <v>19</v>
      </c>
      <c r="K387" s="2" t="str">
        <f>_xlfn.XLOOKUP(TRIM(Table1[[#This Row],[Membership]]),Sheet2!$A$2:$A$7,Sheet2!$B$2:$B$7,"Checkmanually")</f>
        <v>Bronze</v>
      </c>
      <c r="L387" s="3">
        <v>43189</v>
      </c>
    </row>
    <row r="388" spans="1:12" x14ac:dyDescent="0.25">
      <c r="A388" s="2" t="s">
        <v>1603</v>
      </c>
      <c r="B388" s="2" t="s">
        <v>1604</v>
      </c>
      <c r="C388" s="2" t="s">
        <v>13</v>
      </c>
      <c r="D388" s="3">
        <v>31503</v>
      </c>
      <c r="E388" s="2" t="s">
        <v>1605</v>
      </c>
      <c r="F388" s="2" t="s">
        <v>1606</v>
      </c>
      <c r="G388" s="2" t="s">
        <v>131</v>
      </c>
      <c r="H388" s="2" t="s">
        <v>91</v>
      </c>
      <c r="I388" s="2" t="s">
        <v>18</v>
      </c>
      <c r="J388" s="2" t="s">
        <v>19</v>
      </c>
      <c r="K388" s="2" t="str">
        <f>_xlfn.XLOOKUP(TRIM(Table1[[#This Row],[Membership]]),Sheet2!$A$2:$A$7,Sheet2!$B$2:$B$7,"Checkmanually")</f>
        <v>Bronze</v>
      </c>
      <c r="L388" s="3">
        <v>44704</v>
      </c>
    </row>
    <row r="389" spans="1:12" x14ac:dyDescent="0.25">
      <c r="A389" s="2" t="s">
        <v>1607</v>
      </c>
      <c r="B389" s="2" t="s">
        <v>1608</v>
      </c>
      <c r="C389" s="2" t="s">
        <v>33</v>
      </c>
      <c r="D389" s="3">
        <v>26482</v>
      </c>
      <c r="E389" s="2" t="s">
        <v>1609</v>
      </c>
      <c r="F389" s="2" t="s">
        <v>1610</v>
      </c>
      <c r="G389" s="2" t="s">
        <v>30</v>
      </c>
      <c r="H389" s="2" t="s">
        <v>17</v>
      </c>
      <c r="I389" s="2" t="s">
        <v>18</v>
      </c>
      <c r="J389" s="2" t="s">
        <v>25</v>
      </c>
      <c r="K389" s="2" t="str">
        <f>_xlfn.XLOOKUP(TRIM(Table1[[#This Row],[Membership]]),Sheet2!$A$2:$A$7,Sheet2!$B$2:$B$7,"Checkmanually")</f>
        <v>Silver</v>
      </c>
      <c r="L389" s="3">
        <v>45972</v>
      </c>
    </row>
    <row r="390" spans="1:12" x14ac:dyDescent="0.25">
      <c r="A390" s="2" t="s">
        <v>1611</v>
      </c>
      <c r="B390" s="2" t="s">
        <v>1612</v>
      </c>
      <c r="C390" s="2" t="s">
        <v>33</v>
      </c>
      <c r="D390" s="3">
        <v>39108</v>
      </c>
      <c r="E390" s="2" t="s">
        <v>1613</v>
      </c>
      <c r="F390" s="2" t="s">
        <v>1614</v>
      </c>
      <c r="G390" s="2" t="s">
        <v>228</v>
      </c>
      <c r="H390" s="2" t="s">
        <v>17</v>
      </c>
      <c r="I390" s="2" t="s">
        <v>18</v>
      </c>
      <c r="J390" s="2" t="s">
        <v>25</v>
      </c>
      <c r="K390" s="2" t="str">
        <f>_xlfn.XLOOKUP(TRIM(Table1[[#This Row],[Membership]]),Sheet2!$A$2:$A$7,Sheet2!$B$2:$B$7,"Checkmanually")</f>
        <v>Silver</v>
      </c>
      <c r="L390" s="3">
        <v>43322</v>
      </c>
    </row>
    <row r="391" spans="1:12" x14ac:dyDescent="0.25">
      <c r="A391" s="2" t="s">
        <v>1615</v>
      </c>
      <c r="B391" s="2" t="s">
        <v>1616</v>
      </c>
      <c r="C391" s="2" t="s">
        <v>13</v>
      </c>
      <c r="D391" s="3">
        <v>34569</v>
      </c>
      <c r="E391" s="2" t="s">
        <v>1617</v>
      </c>
      <c r="F391" s="2" t="s">
        <v>1618</v>
      </c>
      <c r="G391" s="2" t="s">
        <v>228</v>
      </c>
      <c r="H391" s="2" t="s">
        <v>17</v>
      </c>
      <c r="I391" s="2" t="s">
        <v>18</v>
      </c>
      <c r="J391" s="2" t="s">
        <v>19</v>
      </c>
      <c r="K391" s="2" t="str">
        <f>_xlfn.XLOOKUP(TRIM(Table1[[#This Row],[Membership]]),Sheet2!$A$2:$A$7,Sheet2!$B$2:$B$7,"Checkmanually")</f>
        <v>Bronze</v>
      </c>
      <c r="L391" s="3">
        <v>45951</v>
      </c>
    </row>
    <row r="392" spans="1:12" x14ac:dyDescent="0.25">
      <c r="A392" s="2" t="s">
        <v>1619</v>
      </c>
      <c r="B392" s="2" t="s">
        <v>1620</v>
      </c>
      <c r="C392" s="2" t="s">
        <v>13</v>
      </c>
      <c r="D392" s="3">
        <v>26501</v>
      </c>
      <c r="E392" s="2" t="s">
        <v>1621</v>
      </c>
      <c r="F392" s="2" t="s">
        <v>1622</v>
      </c>
      <c r="G392" s="2" t="s">
        <v>228</v>
      </c>
      <c r="H392" s="2" t="s">
        <v>17</v>
      </c>
      <c r="I392" s="2" t="s">
        <v>18</v>
      </c>
      <c r="J392" s="2" t="s">
        <v>25</v>
      </c>
      <c r="K392" s="2" t="str">
        <f>_xlfn.XLOOKUP(TRIM(Table1[[#This Row],[Membership]]),Sheet2!$A$2:$A$7,Sheet2!$B$2:$B$7,"Checkmanually")</f>
        <v>Silver</v>
      </c>
      <c r="L392" s="3">
        <v>45768</v>
      </c>
    </row>
    <row r="393" spans="1:12" x14ac:dyDescent="0.25">
      <c r="A393" s="2" t="s">
        <v>1623</v>
      </c>
      <c r="B393" s="2" t="s">
        <v>1624</v>
      </c>
      <c r="C393" s="2" t="s">
        <v>13</v>
      </c>
      <c r="D393" s="3">
        <v>24926</v>
      </c>
      <c r="E393" s="2" t="s">
        <v>1625</v>
      </c>
      <c r="F393" s="2" t="s">
        <v>1626</v>
      </c>
      <c r="G393" s="2" t="s">
        <v>121</v>
      </c>
      <c r="H393" s="2" t="s">
        <v>122</v>
      </c>
      <c r="I393" s="2" t="s">
        <v>18</v>
      </c>
      <c r="J393" s="2" t="s">
        <v>183</v>
      </c>
      <c r="K393" s="2" t="str">
        <f>_xlfn.XLOOKUP(TRIM(Table1[[#This Row],[Membership]]),Sheet2!$A$2:$A$7,Sheet2!$B$2:$B$7,"Checkmanually")</f>
        <v>Gold</v>
      </c>
      <c r="L393" s="3">
        <v>44643</v>
      </c>
    </row>
    <row r="394" spans="1:12" x14ac:dyDescent="0.25">
      <c r="A394" s="2" t="s">
        <v>1627</v>
      </c>
      <c r="B394" s="2" t="s">
        <v>1628</v>
      </c>
      <c r="C394" s="2" t="s">
        <v>13</v>
      </c>
      <c r="D394" s="3">
        <v>23237</v>
      </c>
      <c r="E394" s="2" t="s">
        <v>1629</v>
      </c>
      <c r="F394" s="2" t="s">
        <v>1630</v>
      </c>
      <c r="G394" s="2" t="s">
        <v>228</v>
      </c>
      <c r="H394" s="2" t="s">
        <v>17</v>
      </c>
      <c r="I394" s="2" t="s">
        <v>18</v>
      </c>
      <c r="J394" s="2" t="s">
        <v>19</v>
      </c>
      <c r="K394" s="2" t="str">
        <f>_xlfn.XLOOKUP(TRIM(Table1[[#This Row],[Membership]]),Sheet2!$A$2:$A$7,Sheet2!$B$2:$B$7,"Checkmanually")</f>
        <v>Bronze</v>
      </c>
      <c r="L394" s="3">
        <v>44557</v>
      </c>
    </row>
    <row r="395" spans="1:12" x14ac:dyDescent="0.25">
      <c r="A395" s="2" t="s">
        <v>1631</v>
      </c>
      <c r="B395" s="2" t="s">
        <v>1632</v>
      </c>
      <c r="C395" s="2" t="s">
        <v>13</v>
      </c>
      <c r="D395" s="3">
        <v>36979</v>
      </c>
      <c r="E395" s="2" t="s">
        <v>1633</v>
      </c>
      <c r="F395" s="2" t="s">
        <v>1634</v>
      </c>
      <c r="G395" s="2" t="s">
        <v>16</v>
      </c>
      <c r="H395" s="2" t="s">
        <v>17</v>
      </c>
      <c r="I395" s="2" t="s">
        <v>18</v>
      </c>
      <c r="J395" s="2" t="s">
        <v>183</v>
      </c>
      <c r="K395" s="2" t="str">
        <f>_xlfn.XLOOKUP(TRIM(Table1[[#This Row],[Membership]]),Sheet2!$A$2:$A$7,Sheet2!$B$2:$B$7,"Checkmanually")</f>
        <v>Gold</v>
      </c>
      <c r="L395" s="3">
        <v>45763</v>
      </c>
    </row>
    <row r="396" spans="1:12" x14ac:dyDescent="0.25">
      <c r="A396" s="2" t="s">
        <v>1635</v>
      </c>
      <c r="B396" s="2" t="s">
        <v>1636</v>
      </c>
      <c r="C396" s="2" t="s">
        <v>33</v>
      </c>
      <c r="D396" s="3">
        <v>33328</v>
      </c>
      <c r="E396" s="2" t="s">
        <v>1637</v>
      </c>
      <c r="F396" s="2" t="s">
        <v>1638</v>
      </c>
      <c r="G396" s="2" t="s">
        <v>228</v>
      </c>
      <c r="H396" s="2" t="s">
        <v>17</v>
      </c>
      <c r="I396" s="2" t="s">
        <v>18</v>
      </c>
      <c r="J396" s="2" t="s">
        <v>19</v>
      </c>
      <c r="K396" s="2" t="str">
        <f>_xlfn.XLOOKUP(TRIM(Table1[[#This Row],[Membership]]),Sheet2!$A$2:$A$7,Sheet2!$B$2:$B$7,"Checkmanually")</f>
        <v>Bronze</v>
      </c>
      <c r="L396" s="3">
        <v>44104</v>
      </c>
    </row>
    <row r="397" spans="1:12" x14ac:dyDescent="0.25">
      <c r="A397" s="2" t="s">
        <v>1639</v>
      </c>
      <c r="B397" s="2" t="s">
        <v>1640</v>
      </c>
      <c r="C397" s="2" t="s">
        <v>33</v>
      </c>
      <c r="D397" s="3">
        <v>25742</v>
      </c>
      <c r="E397" s="2" t="s">
        <v>1641</v>
      </c>
      <c r="F397" s="2" t="s">
        <v>1642</v>
      </c>
      <c r="G397" s="2" t="s">
        <v>131</v>
      </c>
      <c r="H397" s="2" t="s">
        <v>91</v>
      </c>
      <c r="I397" s="2" t="s">
        <v>18</v>
      </c>
      <c r="J397" s="2" t="s">
        <v>25</v>
      </c>
      <c r="K397" s="2" t="str">
        <f>_xlfn.XLOOKUP(TRIM(Table1[[#This Row],[Membership]]),Sheet2!$A$2:$A$7,Sheet2!$B$2:$B$7,"Checkmanually")</f>
        <v>Silver</v>
      </c>
      <c r="L397" s="3">
        <v>45774</v>
      </c>
    </row>
    <row r="398" spans="1:12" x14ac:dyDescent="0.25">
      <c r="A398" s="2" t="s">
        <v>1643</v>
      </c>
      <c r="B398" s="2" t="s">
        <v>1644</v>
      </c>
      <c r="C398" s="2" t="s">
        <v>13</v>
      </c>
      <c r="D398" s="3">
        <v>32610</v>
      </c>
      <c r="E398" s="2" t="s">
        <v>1645</v>
      </c>
      <c r="F398" s="2" t="s">
        <v>1646</v>
      </c>
      <c r="G398" s="2" t="s">
        <v>63</v>
      </c>
      <c r="H398" s="2" t="s">
        <v>17</v>
      </c>
      <c r="I398" s="2" t="s">
        <v>18</v>
      </c>
      <c r="J398" s="2" t="s">
        <v>19</v>
      </c>
      <c r="K398" s="2" t="str">
        <f>_xlfn.XLOOKUP(TRIM(Table1[[#This Row],[Membership]]),Sheet2!$A$2:$A$7,Sheet2!$B$2:$B$7,"Checkmanually")</f>
        <v>Bronze</v>
      </c>
      <c r="L398" s="3">
        <v>44228</v>
      </c>
    </row>
    <row r="399" spans="1:12" x14ac:dyDescent="0.25">
      <c r="A399" s="2" t="s">
        <v>1647</v>
      </c>
      <c r="B399" s="2" t="s">
        <v>1648</v>
      </c>
      <c r="C399" s="2" t="s">
        <v>33</v>
      </c>
      <c r="D399" s="3">
        <v>23911</v>
      </c>
      <c r="E399" s="2" t="s">
        <v>1649</v>
      </c>
      <c r="F399" s="2" t="s">
        <v>1650</v>
      </c>
      <c r="G399" s="2" t="s">
        <v>24</v>
      </c>
      <c r="H399" s="2" t="s">
        <v>17</v>
      </c>
      <c r="I399" s="2" t="s">
        <v>18</v>
      </c>
      <c r="J399" s="2" t="s">
        <v>183</v>
      </c>
      <c r="K399" s="2" t="str">
        <f>_xlfn.XLOOKUP(TRIM(Table1[[#This Row],[Membership]]),Sheet2!$A$2:$A$7,Sheet2!$B$2:$B$7,"Checkmanually")</f>
        <v>Gold</v>
      </c>
      <c r="L399" s="3">
        <v>43439</v>
      </c>
    </row>
    <row r="400" spans="1:12" x14ac:dyDescent="0.25">
      <c r="A400" s="2" t="s">
        <v>1651</v>
      </c>
      <c r="B400" s="2" t="s">
        <v>1652</v>
      </c>
      <c r="C400" s="2" t="s">
        <v>33</v>
      </c>
      <c r="D400" s="3">
        <v>39319</v>
      </c>
      <c r="E400" s="2" t="s">
        <v>1653</v>
      </c>
      <c r="F400" s="2" t="s">
        <v>1654</v>
      </c>
      <c r="G400" s="2" t="s">
        <v>84</v>
      </c>
      <c r="H400" s="2" t="s">
        <v>85</v>
      </c>
      <c r="I400" s="2" t="s">
        <v>18</v>
      </c>
      <c r="J400" s="2" t="s">
        <v>25</v>
      </c>
      <c r="K400" s="2" t="str">
        <f>_xlfn.XLOOKUP(TRIM(Table1[[#This Row],[Membership]]),Sheet2!$A$2:$A$7,Sheet2!$B$2:$B$7,"Checkmanually")</f>
        <v>Silver</v>
      </c>
      <c r="L400" s="3">
        <v>45447</v>
      </c>
    </row>
    <row r="401" spans="1:12" x14ac:dyDescent="0.25">
      <c r="A401" s="2" t="s">
        <v>1655</v>
      </c>
      <c r="B401" s="2" t="s">
        <v>1656</v>
      </c>
      <c r="C401" s="2" t="s">
        <v>13</v>
      </c>
      <c r="D401" s="3">
        <v>26024</v>
      </c>
      <c r="E401" s="2" t="s">
        <v>1657</v>
      </c>
      <c r="F401" s="2" t="s">
        <v>1658</v>
      </c>
      <c r="G401" s="2" t="s">
        <v>63</v>
      </c>
      <c r="H401" s="2" t="s">
        <v>17</v>
      </c>
      <c r="I401" s="2" t="s">
        <v>18</v>
      </c>
      <c r="J401" s="2" t="s">
        <v>19</v>
      </c>
      <c r="K401" s="2" t="str">
        <f>_xlfn.XLOOKUP(TRIM(Table1[[#This Row],[Membership]]),Sheet2!$A$2:$A$7,Sheet2!$B$2:$B$7,"Checkmanually")</f>
        <v>Bronze</v>
      </c>
      <c r="L401" s="3">
        <v>44673</v>
      </c>
    </row>
    <row r="402" spans="1:12" x14ac:dyDescent="0.25">
      <c r="A402" s="2" t="s">
        <v>1659</v>
      </c>
      <c r="B402" s="2" t="s">
        <v>1660</v>
      </c>
      <c r="C402" s="2" t="s">
        <v>13</v>
      </c>
      <c r="D402" s="3">
        <v>24193</v>
      </c>
      <c r="E402" s="2" t="s">
        <v>1661</v>
      </c>
      <c r="F402" s="2" t="s">
        <v>1662</v>
      </c>
      <c r="G402" s="2" t="s">
        <v>40</v>
      </c>
      <c r="H402" s="2" t="s">
        <v>41</v>
      </c>
      <c r="I402" s="2" t="s">
        <v>42</v>
      </c>
      <c r="J402" s="2" t="s">
        <v>25</v>
      </c>
      <c r="K402" s="2" t="str">
        <f>_xlfn.XLOOKUP(TRIM(Table1[[#This Row],[Membership]]),Sheet2!$A$2:$A$7,Sheet2!$B$2:$B$7,"Checkmanually")</f>
        <v>Silver</v>
      </c>
      <c r="L402" s="3">
        <v>43508</v>
      </c>
    </row>
    <row r="403" spans="1:12" x14ac:dyDescent="0.25">
      <c r="A403" s="2" t="s">
        <v>1663</v>
      </c>
      <c r="B403" s="2" t="s">
        <v>1664</v>
      </c>
      <c r="C403" s="2" t="s">
        <v>13</v>
      </c>
      <c r="D403" s="3">
        <v>20737</v>
      </c>
      <c r="E403" s="2" t="s">
        <v>1665</v>
      </c>
      <c r="F403" s="2" t="s">
        <v>1666</v>
      </c>
      <c r="G403" s="2" t="s">
        <v>84</v>
      </c>
      <c r="H403" s="2" t="s">
        <v>85</v>
      </c>
      <c r="I403" s="2" t="s">
        <v>18</v>
      </c>
      <c r="J403" s="2" t="s">
        <v>183</v>
      </c>
      <c r="K403" s="2" t="str">
        <f>_xlfn.XLOOKUP(TRIM(Table1[[#This Row],[Membership]]),Sheet2!$A$2:$A$7,Sheet2!$B$2:$B$7,"Checkmanually")</f>
        <v>Gold</v>
      </c>
      <c r="L403" s="3">
        <v>44713</v>
      </c>
    </row>
    <row r="404" spans="1:12" x14ac:dyDescent="0.25">
      <c r="A404" s="2" t="s">
        <v>1667</v>
      </c>
      <c r="B404" s="2" t="s">
        <v>1668</v>
      </c>
      <c r="C404" s="2" t="s">
        <v>33</v>
      </c>
      <c r="D404" s="3">
        <v>37093</v>
      </c>
      <c r="E404" s="2" t="s">
        <v>1669</v>
      </c>
      <c r="F404" s="2" t="s">
        <v>1670</v>
      </c>
      <c r="G404" s="2" t="s">
        <v>84</v>
      </c>
      <c r="H404" s="2" t="s">
        <v>85</v>
      </c>
      <c r="I404" s="2" t="s">
        <v>18</v>
      </c>
      <c r="J404" s="2" t="s">
        <v>25</v>
      </c>
      <c r="K404" s="2" t="str">
        <f>_xlfn.XLOOKUP(TRIM(Table1[[#This Row],[Membership]]),Sheet2!$A$2:$A$7,Sheet2!$B$2:$B$7,"Checkmanually")</f>
        <v>Silver</v>
      </c>
      <c r="L404" s="3">
        <v>45496</v>
      </c>
    </row>
    <row r="405" spans="1:12" x14ac:dyDescent="0.25">
      <c r="A405" s="2" t="s">
        <v>1671</v>
      </c>
      <c r="B405" s="2" t="s">
        <v>1672</v>
      </c>
      <c r="C405" s="2" t="s">
        <v>33</v>
      </c>
      <c r="D405" s="3">
        <v>26888</v>
      </c>
      <c r="E405" s="2" t="s">
        <v>1673</v>
      </c>
      <c r="F405" s="2" t="s">
        <v>1674</v>
      </c>
      <c r="G405" s="2" t="s">
        <v>63</v>
      </c>
      <c r="H405" s="2" t="s">
        <v>17</v>
      </c>
      <c r="I405" s="2" t="s">
        <v>18</v>
      </c>
      <c r="J405" s="2" t="s">
        <v>19</v>
      </c>
      <c r="K405" s="2" t="str">
        <f>_xlfn.XLOOKUP(TRIM(Table1[[#This Row],[Membership]]),Sheet2!$A$2:$A$7,Sheet2!$B$2:$B$7,"Checkmanually")</f>
        <v>Bronze</v>
      </c>
      <c r="L405" s="3">
        <v>45798</v>
      </c>
    </row>
    <row r="406" spans="1:12" x14ac:dyDescent="0.25">
      <c r="A406" s="2" t="s">
        <v>1675</v>
      </c>
      <c r="B406" s="2" t="s">
        <v>1676</v>
      </c>
      <c r="C406" s="2" t="s">
        <v>13</v>
      </c>
      <c r="D406" s="3">
        <v>20264</v>
      </c>
      <c r="E406" s="2" t="s">
        <v>1677</v>
      </c>
      <c r="F406" s="2" t="s">
        <v>1678</v>
      </c>
      <c r="G406" s="2" t="s">
        <v>121</v>
      </c>
      <c r="H406" s="2" t="s">
        <v>122</v>
      </c>
      <c r="I406" s="2" t="s">
        <v>18</v>
      </c>
      <c r="J406" s="2" t="s">
        <v>19</v>
      </c>
      <c r="K406" s="2" t="str">
        <f>_xlfn.XLOOKUP(TRIM(Table1[[#This Row],[Membership]]),Sheet2!$A$2:$A$7,Sheet2!$B$2:$B$7,"Checkmanually")</f>
        <v>Bronze</v>
      </c>
      <c r="L406" s="3">
        <v>45373</v>
      </c>
    </row>
    <row r="407" spans="1:12" x14ac:dyDescent="0.25">
      <c r="A407" s="2" t="s">
        <v>1679</v>
      </c>
      <c r="B407" s="2" t="s">
        <v>1680</v>
      </c>
      <c r="C407" s="2" t="s">
        <v>33</v>
      </c>
      <c r="D407" s="3">
        <v>38934</v>
      </c>
      <c r="E407" s="2" t="s">
        <v>1681</v>
      </c>
      <c r="F407" s="2" t="s">
        <v>1682</v>
      </c>
      <c r="G407" s="2" t="s">
        <v>63</v>
      </c>
      <c r="H407" s="2" t="s">
        <v>17</v>
      </c>
      <c r="I407" s="2" t="s">
        <v>18</v>
      </c>
      <c r="J407" s="2" t="s">
        <v>183</v>
      </c>
      <c r="K407" s="2" t="str">
        <f>_xlfn.XLOOKUP(TRIM(Table1[[#This Row],[Membership]]),Sheet2!$A$2:$A$7,Sheet2!$B$2:$B$7,"Checkmanually")</f>
        <v>Gold</v>
      </c>
      <c r="L407" s="3">
        <v>43945</v>
      </c>
    </row>
    <row r="408" spans="1:12" x14ac:dyDescent="0.25">
      <c r="A408" s="2" t="s">
        <v>1683</v>
      </c>
      <c r="B408" s="2" t="s">
        <v>1684</v>
      </c>
      <c r="C408" s="2" t="s">
        <v>33</v>
      </c>
      <c r="D408" s="3">
        <v>21237</v>
      </c>
      <c r="E408" s="2" t="s">
        <v>1685</v>
      </c>
      <c r="F408" s="2" t="s">
        <v>1686</v>
      </c>
      <c r="G408" s="2" t="s">
        <v>84</v>
      </c>
      <c r="H408" s="2" t="s">
        <v>85</v>
      </c>
      <c r="I408" s="2" t="s">
        <v>18</v>
      </c>
      <c r="J408" s="2" t="s">
        <v>25</v>
      </c>
      <c r="K408" s="2" t="str">
        <f>_xlfn.XLOOKUP(TRIM(Table1[[#This Row],[Membership]]),Sheet2!$A$2:$A$7,Sheet2!$B$2:$B$7,"Checkmanually")</f>
        <v>Silver</v>
      </c>
      <c r="L408" s="3">
        <v>43447</v>
      </c>
    </row>
    <row r="409" spans="1:12" x14ac:dyDescent="0.25">
      <c r="A409" s="2" t="s">
        <v>1687</v>
      </c>
      <c r="B409" s="2" t="s">
        <v>1688</v>
      </c>
      <c r="C409" s="2" t="s">
        <v>33</v>
      </c>
      <c r="D409" s="3">
        <v>25713</v>
      </c>
      <c r="E409" s="2" t="s">
        <v>1689</v>
      </c>
      <c r="F409" s="2" t="s">
        <v>1690</v>
      </c>
      <c r="G409" s="2" t="s">
        <v>24</v>
      </c>
      <c r="H409" s="2" t="s">
        <v>17</v>
      </c>
      <c r="I409" s="2" t="s">
        <v>18</v>
      </c>
      <c r="J409" s="2" t="s">
        <v>19</v>
      </c>
      <c r="K409" s="2" t="str">
        <f>_xlfn.XLOOKUP(TRIM(Table1[[#This Row],[Membership]]),Sheet2!$A$2:$A$7,Sheet2!$B$2:$B$7,"Checkmanually")</f>
        <v>Bronze</v>
      </c>
      <c r="L409" s="3">
        <v>44833</v>
      </c>
    </row>
    <row r="410" spans="1:12" x14ac:dyDescent="0.25">
      <c r="A410" s="2" t="s">
        <v>1691</v>
      </c>
      <c r="B410" s="2" t="s">
        <v>1692</v>
      </c>
      <c r="C410" s="2" t="s">
        <v>13</v>
      </c>
      <c r="D410" s="3">
        <v>37111</v>
      </c>
      <c r="E410" s="2" t="s">
        <v>1693</v>
      </c>
      <c r="F410" s="2" t="s">
        <v>1694</v>
      </c>
      <c r="G410" s="2" t="s">
        <v>30</v>
      </c>
      <c r="H410" s="2" t="s">
        <v>17</v>
      </c>
      <c r="I410" s="2" t="s">
        <v>18</v>
      </c>
      <c r="J410" s="2" t="s">
        <v>183</v>
      </c>
      <c r="K410" s="2" t="str">
        <f>_xlfn.XLOOKUP(TRIM(Table1[[#This Row],[Membership]]),Sheet2!$A$2:$A$7,Sheet2!$B$2:$B$7,"Checkmanually")</f>
        <v>Gold</v>
      </c>
      <c r="L410" s="3">
        <v>44302</v>
      </c>
    </row>
    <row r="411" spans="1:12" x14ac:dyDescent="0.25">
      <c r="A411" s="2" t="s">
        <v>1695</v>
      </c>
      <c r="B411" s="2" t="s">
        <v>1696</v>
      </c>
      <c r="C411" s="2" t="s">
        <v>13</v>
      </c>
      <c r="D411" s="3">
        <v>30344</v>
      </c>
      <c r="E411" s="2" t="s">
        <v>1697</v>
      </c>
      <c r="F411" s="2" t="s">
        <v>1698</v>
      </c>
      <c r="G411" s="2" t="s">
        <v>228</v>
      </c>
      <c r="H411" s="2" t="s">
        <v>17</v>
      </c>
      <c r="I411" s="2" t="s">
        <v>18</v>
      </c>
      <c r="J411" s="2" t="s">
        <v>19</v>
      </c>
      <c r="K411" s="2" t="str">
        <f>_xlfn.XLOOKUP(TRIM(Table1[[#This Row],[Membership]]),Sheet2!$A$2:$A$7,Sheet2!$B$2:$B$7,"Checkmanually")</f>
        <v>Bronze</v>
      </c>
      <c r="L411" s="3">
        <v>45241</v>
      </c>
    </row>
    <row r="412" spans="1:12" x14ac:dyDescent="0.25">
      <c r="A412" s="2" t="s">
        <v>1699</v>
      </c>
      <c r="B412" s="2" t="s">
        <v>1700</v>
      </c>
      <c r="C412" s="2" t="s">
        <v>13</v>
      </c>
      <c r="D412" s="3">
        <v>23334</v>
      </c>
      <c r="E412" s="2" t="s">
        <v>1701</v>
      </c>
      <c r="F412" s="2" t="s">
        <v>1702</v>
      </c>
      <c r="G412" s="2" t="s">
        <v>84</v>
      </c>
      <c r="H412" s="2" t="s">
        <v>85</v>
      </c>
      <c r="I412" s="2" t="s">
        <v>18</v>
      </c>
      <c r="J412" s="2" t="s">
        <v>25</v>
      </c>
      <c r="K412" s="2" t="str">
        <f>_xlfn.XLOOKUP(TRIM(Table1[[#This Row],[Membership]]),Sheet2!$A$2:$A$7,Sheet2!$B$2:$B$7,"Checkmanually")</f>
        <v>Silver</v>
      </c>
      <c r="L412" s="3">
        <v>45815</v>
      </c>
    </row>
    <row r="413" spans="1:12" x14ac:dyDescent="0.25">
      <c r="A413" s="2" t="s">
        <v>1703</v>
      </c>
      <c r="B413" s="2" t="s">
        <v>1704</v>
      </c>
      <c r="C413" s="2" t="s">
        <v>13</v>
      </c>
      <c r="D413" s="3">
        <v>29910</v>
      </c>
      <c r="E413" s="2" t="s">
        <v>1705</v>
      </c>
      <c r="F413" s="2" t="s">
        <v>1706</v>
      </c>
      <c r="G413" s="2" t="s">
        <v>16</v>
      </c>
      <c r="H413" s="2" t="s">
        <v>17</v>
      </c>
      <c r="I413" s="2" t="s">
        <v>18</v>
      </c>
      <c r="J413" s="2" t="s">
        <v>183</v>
      </c>
      <c r="K413" s="2" t="str">
        <f>_xlfn.XLOOKUP(TRIM(Table1[[#This Row],[Membership]]),Sheet2!$A$2:$A$7,Sheet2!$B$2:$B$7,"Checkmanually")</f>
        <v>Gold</v>
      </c>
      <c r="L413" s="3">
        <v>43982</v>
      </c>
    </row>
    <row r="414" spans="1:12" x14ac:dyDescent="0.25">
      <c r="A414" s="2" t="s">
        <v>1707</v>
      </c>
      <c r="B414" s="2" t="s">
        <v>1708</v>
      </c>
      <c r="C414" s="2" t="s">
        <v>33</v>
      </c>
      <c r="D414" s="3">
        <v>29179</v>
      </c>
      <c r="E414" s="2" t="s">
        <v>1709</v>
      </c>
      <c r="F414" s="2" t="s">
        <v>1710</v>
      </c>
      <c r="G414" s="2" t="s">
        <v>54</v>
      </c>
      <c r="H414" s="2" t="s">
        <v>17</v>
      </c>
      <c r="I414" s="2" t="s">
        <v>18</v>
      </c>
      <c r="J414" s="2" t="s">
        <v>19</v>
      </c>
      <c r="K414" s="2" t="str">
        <f>_xlfn.XLOOKUP(TRIM(Table1[[#This Row],[Membership]]),Sheet2!$A$2:$A$7,Sheet2!$B$2:$B$7,"Checkmanually")</f>
        <v>Bronze</v>
      </c>
      <c r="L414" s="3">
        <v>43627</v>
      </c>
    </row>
    <row r="415" spans="1:12" x14ac:dyDescent="0.25">
      <c r="A415" s="2" t="s">
        <v>1711</v>
      </c>
      <c r="B415" s="2" t="s">
        <v>1712</v>
      </c>
      <c r="C415" s="2" t="s">
        <v>13</v>
      </c>
      <c r="D415" s="3">
        <v>28631</v>
      </c>
      <c r="E415" s="2" t="s">
        <v>1713</v>
      </c>
      <c r="F415" s="2" t="s">
        <v>1714</v>
      </c>
      <c r="G415" s="2" t="s">
        <v>63</v>
      </c>
      <c r="H415" s="2" t="s">
        <v>17</v>
      </c>
      <c r="I415" s="2" t="s">
        <v>18</v>
      </c>
      <c r="J415" s="2" t="s">
        <v>25</v>
      </c>
      <c r="K415" s="2" t="str">
        <f>_xlfn.XLOOKUP(TRIM(Table1[[#This Row],[Membership]]),Sheet2!$A$2:$A$7,Sheet2!$B$2:$B$7,"Checkmanually")</f>
        <v>Silver</v>
      </c>
      <c r="L415" s="3">
        <v>44664</v>
      </c>
    </row>
    <row r="416" spans="1:12" x14ac:dyDescent="0.25">
      <c r="A416" s="2" t="s">
        <v>1715</v>
      </c>
      <c r="B416" s="2" t="s">
        <v>1716</v>
      </c>
      <c r="C416" s="2" t="s">
        <v>33</v>
      </c>
      <c r="D416" s="3">
        <v>28418</v>
      </c>
      <c r="E416" s="2" t="s">
        <v>1717</v>
      </c>
      <c r="F416" s="2" t="s">
        <v>1718</v>
      </c>
      <c r="G416" s="2" t="s">
        <v>509</v>
      </c>
      <c r="H416" s="2" t="s">
        <v>510</v>
      </c>
      <c r="I416" s="2" t="s">
        <v>49</v>
      </c>
      <c r="J416" s="2" t="s">
        <v>183</v>
      </c>
      <c r="K416" s="2" t="str">
        <f>_xlfn.XLOOKUP(TRIM(Table1[[#This Row],[Membership]]),Sheet2!$A$2:$A$7,Sheet2!$B$2:$B$7,"Checkmanually")</f>
        <v>Gold</v>
      </c>
      <c r="L416" s="3">
        <v>45872</v>
      </c>
    </row>
    <row r="417" spans="1:12" x14ac:dyDescent="0.25">
      <c r="A417" s="2" t="s">
        <v>1719</v>
      </c>
      <c r="B417" s="2" t="s">
        <v>1720</v>
      </c>
      <c r="C417" s="2" t="s">
        <v>33</v>
      </c>
      <c r="D417" s="3">
        <v>28917</v>
      </c>
      <c r="E417" s="2" t="s">
        <v>1721</v>
      </c>
      <c r="F417" s="2" t="s">
        <v>1722</v>
      </c>
      <c r="G417" s="2" t="s">
        <v>527</v>
      </c>
      <c r="H417" s="2" t="s">
        <v>388</v>
      </c>
      <c r="I417" s="2" t="s">
        <v>146</v>
      </c>
      <c r="J417" s="2" t="s">
        <v>25</v>
      </c>
      <c r="K417" s="2" t="str">
        <f>_xlfn.XLOOKUP(TRIM(Table1[[#This Row],[Membership]]),Sheet2!$A$2:$A$7,Sheet2!$B$2:$B$7,"Checkmanually")</f>
        <v>Silver</v>
      </c>
      <c r="L417" s="3">
        <v>45694</v>
      </c>
    </row>
    <row r="418" spans="1:12" x14ac:dyDescent="0.25">
      <c r="A418" s="2" t="s">
        <v>1723</v>
      </c>
      <c r="B418" s="2" t="s">
        <v>1724</v>
      </c>
      <c r="C418" s="2" t="s">
        <v>33</v>
      </c>
      <c r="D418" s="3">
        <v>36848</v>
      </c>
      <c r="E418" s="2" t="s">
        <v>1725</v>
      </c>
      <c r="F418" s="2" t="s">
        <v>1726</v>
      </c>
      <c r="G418" s="2" t="s">
        <v>24</v>
      </c>
      <c r="H418" s="2" t="s">
        <v>17</v>
      </c>
      <c r="I418" s="2" t="s">
        <v>18</v>
      </c>
      <c r="J418" s="2" t="s">
        <v>19</v>
      </c>
      <c r="K418" s="2" t="str">
        <f>_xlfn.XLOOKUP(TRIM(Table1[[#This Row],[Membership]]),Sheet2!$A$2:$A$7,Sheet2!$B$2:$B$7,"Checkmanually")</f>
        <v>Bronze</v>
      </c>
      <c r="L418" s="3">
        <v>45578</v>
      </c>
    </row>
    <row r="419" spans="1:12" x14ac:dyDescent="0.25">
      <c r="A419" s="2" t="s">
        <v>1727</v>
      </c>
      <c r="B419" s="2" t="s">
        <v>1728</v>
      </c>
      <c r="C419" s="2" t="s">
        <v>1729</v>
      </c>
      <c r="D419" s="3">
        <v>34299</v>
      </c>
      <c r="E419" s="2" t="s">
        <v>1730</v>
      </c>
      <c r="F419" s="2" t="s">
        <v>1731</v>
      </c>
      <c r="G419" s="2" t="s">
        <v>228</v>
      </c>
      <c r="H419" s="2" t="s">
        <v>17</v>
      </c>
      <c r="I419" s="2" t="s">
        <v>18</v>
      </c>
      <c r="J419" s="2" t="s">
        <v>25</v>
      </c>
      <c r="K419" s="2" t="str">
        <f>_xlfn.XLOOKUP(TRIM(Table1[[#This Row],[Membership]]),Sheet2!$A$2:$A$7,Sheet2!$B$2:$B$7,"Checkmanually")</f>
        <v>Silver</v>
      </c>
      <c r="L419" s="3">
        <v>44653</v>
      </c>
    </row>
    <row r="420" spans="1:12" x14ac:dyDescent="0.25">
      <c r="A420" s="2" t="s">
        <v>1732</v>
      </c>
      <c r="B420" s="2" t="s">
        <v>1733</v>
      </c>
      <c r="C420" s="2" t="s">
        <v>33</v>
      </c>
      <c r="D420" s="3">
        <v>37505</v>
      </c>
      <c r="E420" s="2" t="s">
        <v>1734</v>
      </c>
      <c r="F420" s="2" t="s">
        <v>1735</v>
      </c>
      <c r="G420" s="2" t="s">
        <v>387</v>
      </c>
      <c r="H420" s="2" t="s">
        <v>388</v>
      </c>
      <c r="I420" s="2" t="s">
        <v>146</v>
      </c>
      <c r="J420" s="2" t="s">
        <v>25</v>
      </c>
      <c r="K420" s="2" t="str">
        <f>_xlfn.XLOOKUP(TRIM(Table1[[#This Row],[Membership]]),Sheet2!$A$2:$A$7,Sheet2!$B$2:$B$7,"Checkmanually")</f>
        <v>Silver</v>
      </c>
      <c r="L420" s="3">
        <v>43551</v>
      </c>
    </row>
    <row r="421" spans="1:12" x14ac:dyDescent="0.25">
      <c r="A421" s="2" t="s">
        <v>1736</v>
      </c>
      <c r="B421" s="2" t="s">
        <v>1737</v>
      </c>
      <c r="C421" s="2" t="s">
        <v>33</v>
      </c>
      <c r="D421" s="3">
        <v>23005</v>
      </c>
      <c r="E421" s="2" t="s">
        <v>1738</v>
      </c>
      <c r="F421" s="2" t="s">
        <v>1739</v>
      </c>
      <c r="G421" s="2" t="s">
        <v>63</v>
      </c>
      <c r="H421" s="2" t="s">
        <v>17</v>
      </c>
      <c r="I421" s="2" t="s">
        <v>18</v>
      </c>
      <c r="J421" s="2" t="s">
        <v>25</v>
      </c>
      <c r="K421" s="2" t="str">
        <f>_xlfn.XLOOKUP(TRIM(Table1[[#This Row],[Membership]]),Sheet2!$A$2:$A$7,Sheet2!$B$2:$B$7,"Checkmanually")</f>
        <v>Silver</v>
      </c>
      <c r="L421" s="3">
        <v>44587</v>
      </c>
    </row>
    <row r="422" spans="1:12" x14ac:dyDescent="0.25">
      <c r="A422" s="2" t="s">
        <v>1740</v>
      </c>
      <c r="B422" s="2" t="s">
        <v>1741</v>
      </c>
      <c r="C422" s="2" t="s">
        <v>33</v>
      </c>
      <c r="D422" s="3">
        <v>27487</v>
      </c>
      <c r="E422" s="2" t="s">
        <v>1742</v>
      </c>
      <c r="F422" s="2" t="s">
        <v>1743</v>
      </c>
      <c r="G422" s="2" t="s">
        <v>228</v>
      </c>
      <c r="H422" s="2" t="s">
        <v>17</v>
      </c>
      <c r="I422" s="2" t="s">
        <v>18</v>
      </c>
      <c r="J422" s="2" t="s">
        <v>19</v>
      </c>
      <c r="K422" s="2" t="str">
        <f>_xlfn.XLOOKUP(TRIM(Table1[[#This Row],[Membership]]),Sheet2!$A$2:$A$7,Sheet2!$B$2:$B$7,"Checkmanually")</f>
        <v>Bronze</v>
      </c>
      <c r="L422" s="3">
        <v>44221</v>
      </c>
    </row>
    <row r="423" spans="1:12" x14ac:dyDescent="0.25">
      <c r="A423" s="2" t="s">
        <v>1744</v>
      </c>
      <c r="B423" s="2" t="s">
        <v>1745</v>
      </c>
      <c r="C423" s="2" t="s">
        <v>33</v>
      </c>
      <c r="D423" s="3">
        <v>23530</v>
      </c>
      <c r="E423" s="2" t="s">
        <v>1746</v>
      </c>
      <c r="F423" s="2" t="s">
        <v>1747</v>
      </c>
      <c r="G423" s="2" t="s">
        <v>54</v>
      </c>
      <c r="H423" s="2" t="s">
        <v>17</v>
      </c>
      <c r="I423" s="2" t="s">
        <v>18</v>
      </c>
      <c r="J423" s="2" t="s">
        <v>25</v>
      </c>
      <c r="K423" s="2" t="str">
        <f>_xlfn.XLOOKUP(TRIM(Table1[[#This Row],[Membership]]),Sheet2!$A$2:$A$7,Sheet2!$B$2:$B$7,"Checkmanually")</f>
        <v>Silver</v>
      </c>
      <c r="L423" s="3">
        <v>43606</v>
      </c>
    </row>
    <row r="424" spans="1:12" x14ac:dyDescent="0.25">
      <c r="A424" s="2" t="s">
        <v>1748</v>
      </c>
      <c r="B424" s="2" t="s">
        <v>1749</v>
      </c>
      <c r="C424" s="2" t="s">
        <v>1750</v>
      </c>
      <c r="D424" s="3">
        <v>36133</v>
      </c>
      <c r="E424" s="2" t="s">
        <v>1751</v>
      </c>
      <c r="F424" s="2" t="s">
        <v>1752</v>
      </c>
      <c r="G424" s="2" t="s">
        <v>30</v>
      </c>
      <c r="H424" s="2" t="s">
        <v>17</v>
      </c>
      <c r="I424" s="2" t="s">
        <v>18</v>
      </c>
      <c r="J424" s="2" t="s">
        <v>19</v>
      </c>
      <c r="K424" s="2" t="str">
        <f>_xlfn.XLOOKUP(TRIM(Table1[[#This Row],[Membership]]),Sheet2!$A$2:$A$7,Sheet2!$B$2:$B$7,"Checkmanually")</f>
        <v>Bronze</v>
      </c>
      <c r="L424" s="3">
        <v>43492</v>
      </c>
    </row>
    <row r="425" spans="1:12" x14ac:dyDescent="0.25">
      <c r="A425" s="2" t="s">
        <v>1753</v>
      </c>
      <c r="B425" s="2" t="s">
        <v>1754</v>
      </c>
      <c r="C425" s="2" t="s">
        <v>33</v>
      </c>
      <c r="D425" s="3">
        <v>38162</v>
      </c>
      <c r="E425" s="2" t="s">
        <v>1755</v>
      </c>
      <c r="F425" s="2" t="s">
        <v>1756</v>
      </c>
      <c r="G425" s="2" t="s">
        <v>121</v>
      </c>
      <c r="H425" s="2" t="s">
        <v>122</v>
      </c>
      <c r="I425" s="2" t="s">
        <v>18</v>
      </c>
      <c r="J425" s="2" t="s">
        <v>19</v>
      </c>
      <c r="K425" s="2" t="str">
        <f>_xlfn.XLOOKUP(TRIM(Table1[[#This Row],[Membership]]),Sheet2!$A$2:$A$7,Sheet2!$B$2:$B$7,"Checkmanually")</f>
        <v>Bronze</v>
      </c>
      <c r="L425" s="3">
        <v>44211</v>
      </c>
    </row>
    <row r="426" spans="1:12" x14ac:dyDescent="0.25">
      <c r="A426" s="2" t="s">
        <v>1757</v>
      </c>
      <c r="B426" s="2" t="s">
        <v>1758</v>
      </c>
      <c r="C426" s="2" t="s">
        <v>33</v>
      </c>
      <c r="D426" s="3">
        <v>32855</v>
      </c>
      <c r="E426" s="2" t="s">
        <v>1759</v>
      </c>
      <c r="F426" s="2" t="s">
        <v>1760</v>
      </c>
      <c r="G426" s="2" t="s">
        <v>16</v>
      </c>
      <c r="H426" s="2" t="s">
        <v>17</v>
      </c>
      <c r="I426" s="2" t="s">
        <v>18</v>
      </c>
      <c r="J426" s="2" t="s">
        <v>183</v>
      </c>
      <c r="K426" s="2" t="str">
        <f>_xlfn.XLOOKUP(TRIM(Table1[[#This Row],[Membership]]),Sheet2!$A$2:$A$7,Sheet2!$B$2:$B$7,"Checkmanually")</f>
        <v>Gold</v>
      </c>
      <c r="L426" s="3">
        <v>43841</v>
      </c>
    </row>
    <row r="427" spans="1:12" x14ac:dyDescent="0.25">
      <c r="A427" s="2" t="s">
        <v>1761</v>
      </c>
      <c r="B427" s="2" t="s">
        <v>1762</v>
      </c>
      <c r="C427" s="2" t="s">
        <v>33</v>
      </c>
      <c r="D427" s="3">
        <v>33284</v>
      </c>
      <c r="E427" s="2" t="s">
        <v>1763</v>
      </c>
      <c r="F427" s="2" t="s">
        <v>1764</v>
      </c>
      <c r="G427" s="2" t="s">
        <v>84</v>
      </c>
      <c r="H427" s="2" t="s">
        <v>85</v>
      </c>
      <c r="I427" s="2" t="s">
        <v>18</v>
      </c>
      <c r="J427" s="2" t="s">
        <v>19</v>
      </c>
      <c r="K427" s="2" t="str">
        <f>_xlfn.XLOOKUP(TRIM(Table1[[#This Row],[Membership]]),Sheet2!$A$2:$A$7,Sheet2!$B$2:$B$7,"Checkmanually")</f>
        <v>Bronze</v>
      </c>
      <c r="L427" s="3">
        <v>45054</v>
      </c>
    </row>
    <row r="428" spans="1:12" x14ac:dyDescent="0.25">
      <c r="A428" s="2" t="s">
        <v>1765</v>
      </c>
      <c r="B428" s="2" t="s">
        <v>1766</v>
      </c>
      <c r="C428" s="2" t="s">
        <v>33</v>
      </c>
      <c r="D428" s="3">
        <v>25185</v>
      </c>
      <c r="E428" s="2" t="s">
        <v>1767</v>
      </c>
      <c r="F428" s="2" t="s">
        <v>1768</v>
      </c>
      <c r="G428" s="2" t="s">
        <v>16</v>
      </c>
      <c r="H428" s="2" t="s">
        <v>17</v>
      </c>
      <c r="I428" s="2" t="s">
        <v>18</v>
      </c>
      <c r="J428" s="2" t="s">
        <v>19</v>
      </c>
      <c r="K428" s="2" t="str">
        <f>_xlfn.XLOOKUP(TRIM(Table1[[#This Row],[Membership]]),Sheet2!$A$2:$A$7,Sheet2!$B$2:$B$7,"Checkmanually")</f>
        <v>Bronze</v>
      </c>
      <c r="L428" s="3">
        <v>45794</v>
      </c>
    </row>
    <row r="429" spans="1:12" x14ac:dyDescent="0.25">
      <c r="A429" s="2" t="s">
        <v>1769</v>
      </c>
      <c r="B429" s="2" t="s">
        <v>1770</v>
      </c>
      <c r="C429" s="2" t="s">
        <v>33</v>
      </c>
      <c r="D429" s="3">
        <v>21822</v>
      </c>
      <c r="E429" s="2" t="s">
        <v>1771</v>
      </c>
      <c r="F429" s="2" t="s">
        <v>1772</v>
      </c>
      <c r="G429" s="2" t="s">
        <v>121</v>
      </c>
      <c r="H429" s="2" t="s">
        <v>122</v>
      </c>
      <c r="I429" s="2" t="s">
        <v>18</v>
      </c>
      <c r="J429" s="2" t="s">
        <v>19</v>
      </c>
      <c r="K429" s="2" t="str">
        <f>_xlfn.XLOOKUP(TRIM(Table1[[#This Row],[Membership]]),Sheet2!$A$2:$A$7,Sheet2!$B$2:$B$7,"Checkmanually")</f>
        <v>Bronze</v>
      </c>
      <c r="L429" s="3">
        <v>46072</v>
      </c>
    </row>
    <row r="430" spans="1:12" x14ac:dyDescent="0.25">
      <c r="A430" s="2" t="s">
        <v>1773</v>
      </c>
      <c r="B430" s="2" t="s">
        <v>1774</v>
      </c>
      <c r="C430" s="2" t="s">
        <v>13</v>
      </c>
      <c r="D430" s="3">
        <v>33795</v>
      </c>
      <c r="E430" s="2" t="s">
        <v>1775</v>
      </c>
      <c r="F430" s="2" t="s">
        <v>1776</v>
      </c>
      <c r="G430" s="2" t="s">
        <v>115</v>
      </c>
      <c r="H430" s="2" t="s">
        <v>116</v>
      </c>
      <c r="I430" s="2" t="s">
        <v>42</v>
      </c>
      <c r="J430" s="2" t="s">
        <v>19</v>
      </c>
      <c r="K430" s="2" t="str">
        <f>_xlfn.XLOOKUP(TRIM(Table1[[#This Row],[Membership]]),Sheet2!$A$2:$A$7,Sheet2!$B$2:$B$7,"Checkmanually")</f>
        <v>Bronze</v>
      </c>
      <c r="L430" s="3">
        <v>45995</v>
      </c>
    </row>
    <row r="431" spans="1:12" x14ac:dyDescent="0.25">
      <c r="A431" s="2" t="s">
        <v>1777</v>
      </c>
      <c r="B431" s="2" t="s">
        <v>1778</v>
      </c>
      <c r="C431" s="2" t="s">
        <v>13</v>
      </c>
      <c r="D431" s="3">
        <v>36547</v>
      </c>
      <c r="E431" s="2" t="s">
        <v>1779</v>
      </c>
      <c r="F431" s="2" t="s">
        <v>1780</v>
      </c>
      <c r="G431" s="2" t="s">
        <v>24</v>
      </c>
      <c r="H431" s="2" t="s">
        <v>17</v>
      </c>
      <c r="I431" s="2" t="s">
        <v>18</v>
      </c>
      <c r="J431" s="2" t="s">
        <v>19</v>
      </c>
      <c r="K431" s="2" t="str">
        <f>_xlfn.XLOOKUP(TRIM(Table1[[#This Row],[Membership]]),Sheet2!$A$2:$A$7,Sheet2!$B$2:$B$7,"Checkmanually")</f>
        <v>Bronze</v>
      </c>
      <c r="L431" s="3">
        <v>44275</v>
      </c>
    </row>
    <row r="432" spans="1:12" x14ac:dyDescent="0.25">
      <c r="A432" s="2" t="s">
        <v>1781</v>
      </c>
      <c r="B432" s="2" t="s">
        <v>1782</v>
      </c>
      <c r="C432" s="2" t="s">
        <v>33</v>
      </c>
      <c r="D432" s="3">
        <v>22938</v>
      </c>
      <c r="E432" s="2" t="s">
        <v>1783</v>
      </c>
      <c r="F432" s="2" t="s">
        <v>1784</v>
      </c>
      <c r="G432" s="2" t="s">
        <v>115</v>
      </c>
      <c r="H432" s="2" t="s">
        <v>116</v>
      </c>
      <c r="I432" s="2" t="s">
        <v>42</v>
      </c>
      <c r="J432" s="2" t="s">
        <v>25</v>
      </c>
      <c r="K432" s="2" t="str">
        <f>_xlfn.XLOOKUP(TRIM(Table1[[#This Row],[Membership]]),Sheet2!$A$2:$A$7,Sheet2!$B$2:$B$7,"Checkmanually")</f>
        <v>Silver</v>
      </c>
      <c r="L432" s="3">
        <v>44352</v>
      </c>
    </row>
    <row r="433" spans="1:12" x14ac:dyDescent="0.25">
      <c r="A433" s="2" t="s">
        <v>1785</v>
      </c>
      <c r="B433" s="2" t="s">
        <v>1786</v>
      </c>
      <c r="C433" s="2" t="s">
        <v>13</v>
      </c>
      <c r="D433" s="3">
        <v>22603</v>
      </c>
      <c r="E433" s="2" t="s">
        <v>1787</v>
      </c>
      <c r="F433" s="2" t="s">
        <v>1788</v>
      </c>
      <c r="G433" s="2" t="s">
        <v>63</v>
      </c>
      <c r="H433" s="2" t="s">
        <v>17</v>
      </c>
      <c r="I433" s="2" t="s">
        <v>18</v>
      </c>
      <c r="J433" s="2" t="s">
        <v>19</v>
      </c>
      <c r="K433" s="2" t="str">
        <f>_xlfn.XLOOKUP(TRIM(Table1[[#This Row],[Membership]]),Sheet2!$A$2:$A$7,Sheet2!$B$2:$B$7,"Checkmanually")</f>
        <v>Bronze</v>
      </c>
      <c r="L433" s="3">
        <v>44084</v>
      </c>
    </row>
    <row r="434" spans="1:12" x14ac:dyDescent="0.25">
      <c r="A434" s="2" t="s">
        <v>1789</v>
      </c>
      <c r="B434" s="2" t="s">
        <v>1790</v>
      </c>
      <c r="C434" s="2" t="s">
        <v>13</v>
      </c>
      <c r="D434" s="3">
        <v>29456</v>
      </c>
      <c r="E434" s="2" t="s">
        <v>1791</v>
      </c>
      <c r="F434" s="2" t="s">
        <v>1792</v>
      </c>
      <c r="G434" s="2" t="s">
        <v>16</v>
      </c>
      <c r="H434" s="2" t="s">
        <v>17</v>
      </c>
      <c r="I434" s="2" t="s">
        <v>18</v>
      </c>
      <c r="J434" s="2" t="s">
        <v>183</v>
      </c>
      <c r="K434" s="2" t="str">
        <f>_xlfn.XLOOKUP(TRIM(Table1[[#This Row],[Membership]]),Sheet2!$A$2:$A$7,Sheet2!$B$2:$B$7,"Checkmanually")</f>
        <v>Gold</v>
      </c>
      <c r="L434" s="3">
        <v>45370</v>
      </c>
    </row>
    <row r="435" spans="1:12" x14ac:dyDescent="0.25">
      <c r="A435" s="2" t="s">
        <v>1793</v>
      </c>
      <c r="B435" s="2" t="s">
        <v>1794</v>
      </c>
      <c r="C435" s="2" t="s">
        <v>13</v>
      </c>
      <c r="D435" s="3">
        <v>33983</v>
      </c>
      <c r="E435" s="2" t="s">
        <v>1795</v>
      </c>
      <c r="F435" s="2" t="s">
        <v>1796</v>
      </c>
      <c r="G435" s="2" t="s">
        <v>16</v>
      </c>
      <c r="H435" s="2" t="s">
        <v>17</v>
      </c>
      <c r="I435" s="2" t="s">
        <v>18</v>
      </c>
      <c r="J435" s="2" t="s">
        <v>19</v>
      </c>
      <c r="K435" s="2" t="str">
        <f>_xlfn.XLOOKUP(TRIM(Table1[[#This Row],[Membership]]),Sheet2!$A$2:$A$7,Sheet2!$B$2:$B$7,"Checkmanually")</f>
        <v>Bronze</v>
      </c>
      <c r="L435" s="3">
        <v>45874</v>
      </c>
    </row>
    <row r="436" spans="1:12" x14ac:dyDescent="0.25">
      <c r="A436" s="2" t="s">
        <v>1797</v>
      </c>
      <c r="B436" s="2" t="s">
        <v>1798</v>
      </c>
      <c r="C436" s="2" t="s">
        <v>33</v>
      </c>
      <c r="D436" s="3">
        <v>37535</v>
      </c>
      <c r="E436" s="2" t="s">
        <v>1799</v>
      </c>
      <c r="F436" s="2" t="s">
        <v>1800</v>
      </c>
      <c r="G436" s="2" t="s">
        <v>382</v>
      </c>
      <c r="H436" s="2" t="s">
        <v>145</v>
      </c>
      <c r="I436" s="2" t="s">
        <v>146</v>
      </c>
      <c r="J436" s="2" t="s">
        <v>25</v>
      </c>
      <c r="K436" s="2" t="str">
        <f>_xlfn.XLOOKUP(TRIM(Table1[[#This Row],[Membership]]),Sheet2!$A$2:$A$7,Sheet2!$B$2:$B$7,"Checkmanually")</f>
        <v>Silver</v>
      </c>
      <c r="L436" s="3">
        <v>45959</v>
      </c>
    </row>
    <row r="437" spans="1:12" x14ac:dyDescent="0.25">
      <c r="A437" s="2" t="s">
        <v>1801</v>
      </c>
      <c r="B437" s="2" t="s">
        <v>1802</v>
      </c>
      <c r="C437" s="2" t="s">
        <v>33</v>
      </c>
      <c r="D437" s="3">
        <v>20328</v>
      </c>
      <c r="E437" s="2" t="s">
        <v>1803</v>
      </c>
      <c r="F437" s="2" t="s">
        <v>1804</v>
      </c>
      <c r="G437" s="2" t="s">
        <v>121</v>
      </c>
      <c r="H437" s="2" t="s">
        <v>122</v>
      </c>
      <c r="I437" s="2" t="s">
        <v>18</v>
      </c>
      <c r="J437" s="2" t="s">
        <v>183</v>
      </c>
      <c r="K437" s="2" t="str">
        <f>_xlfn.XLOOKUP(TRIM(Table1[[#This Row],[Membership]]),Sheet2!$A$2:$A$7,Sheet2!$B$2:$B$7,"Checkmanually")</f>
        <v>Gold</v>
      </c>
      <c r="L437" s="3">
        <v>46026</v>
      </c>
    </row>
    <row r="438" spans="1:12" x14ac:dyDescent="0.25">
      <c r="A438" s="2" t="s">
        <v>1805</v>
      </c>
      <c r="B438" s="2" t="s">
        <v>1806</v>
      </c>
      <c r="C438" s="2" t="s">
        <v>33</v>
      </c>
      <c r="D438" s="3">
        <v>37395</v>
      </c>
      <c r="E438" s="2" t="s">
        <v>1807</v>
      </c>
      <c r="F438" s="2" t="s">
        <v>1808</v>
      </c>
      <c r="G438" s="2" t="s">
        <v>24</v>
      </c>
      <c r="H438" s="2" t="s">
        <v>17</v>
      </c>
      <c r="I438" s="2" t="s">
        <v>18</v>
      </c>
      <c r="J438" s="2" t="s">
        <v>25</v>
      </c>
      <c r="K438" s="2" t="str">
        <f>_xlfn.XLOOKUP(TRIM(Table1[[#This Row],[Membership]]),Sheet2!$A$2:$A$7,Sheet2!$B$2:$B$7,"Checkmanually")</f>
        <v>Silver</v>
      </c>
      <c r="L438" s="3">
        <v>45902</v>
      </c>
    </row>
    <row r="439" spans="1:12" x14ac:dyDescent="0.25">
      <c r="A439" s="2" t="s">
        <v>1809</v>
      </c>
      <c r="B439" s="2" t="s">
        <v>1810</v>
      </c>
      <c r="C439" s="2" t="s">
        <v>13</v>
      </c>
      <c r="D439" s="3">
        <v>37244</v>
      </c>
      <c r="E439" s="2" t="s">
        <v>1811</v>
      </c>
      <c r="F439" s="2" t="s">
        <v>1812</v>
      </c>
      <c r="G439" s="2" t="s">
        <v>90</v>
      </c>
      <c r="H439" s="2" t="s">
        <v>91</v>
      </c>
      <c r="I439" s="2" t="s">
        <v>18</v>
      </c>
      <c r="J439" s="2" t="s">
        <v>19</v>
      </c>
      <c r="K439" s="2" t="str">
        <f>_xlfn.XLOOKUP(TRIM(Table1[[#This Row],[Membership]]),Sheet2!$A$2:$A$7,Sheet2!$B$2:$B$7,"Checkmanually")</f>
        <v>Bronze</v>
      </c>
      <c r="L439" s="3">
        <v>44022</v>
      </c>
    </row>
    <row r="440" spans="1:12" x14ac:dyDescent="0.25">
      <c r="A440" s="2" t="s">
        <v>1813</v>
      </c>
      <c r="B440" s="2" t="s">
        <v>1814</v>
      </c>
      <c r="C440" s="2" t="s">
        <v>33</v>
      </c>
      <c r="D440" s="3">
        <v>21758</v>
      </c>
      <c r="E440" s="2" t="s">
        <v>1815</v>
      </c>
      <c r="F440" s="2" t="s">
        <v>1816</v>
      </c>
      <c r="G440" s="2" t="s">
        <v>228</v>
      </c>
      <c r="H440" s="2" t="s">
        <v>17</v>
      </c>
      <c r="I440" s="2" t="s">
        <v>18</v>
      </c>
      <c r="J440" s="2" t="s">
        <v>25</v>
      </c>
      <c r="K440" s="2" t="str">
        <f>_xlfn.XLOOKUP(TRIM(Table1[[#This Row],[Membership]]),Sheet2!$A$2:$A$7,Sheet2!$B$2:$B$7,"Checkmanually")</f>
        <v>Silver</v>
      </c>
      <c r="L440" s="3">
        <v>44832</v>
      </c>
    </row>
    <row r="441" spans="1:12" x14ac:dyDescent="0.25">
      <c r="A441" s="2" t="s">
        <v>1817</v>
      </c>
      <c r="B441" s="2" t="s">
        <v>1818</v>
      </c>
      <c r="C441" s="2" t="s">
        <v>13</v>
      </c>
      <c r="D441" s="3">
        <v>31164</v>
      </c>
      <c r="E441" s="2" t="s">
        <v>1819</v>
      </c>
      <c r="F441" s="2" t="s">
        <v>1820</v>
      </c>
      <c r="G441" s="2" t="s">
        <v>24</v>
      </c>
      <c r="H441" s="2" t="s">
        <v>17</v>
      </c>
      <c r="I441" s="2" t="s">
        <v>18</v>
      </c>
      <c r="J441" s="2" t="s">
        <v>19</v>
      </c>
      <c r="K441" s="2" t="str">
        <f>_xlfn.XLOOKUP(TRIM(Table1[[#This Row],[Membership]]),Sheet2!$A$2:$A$7,Sheet2!$B$2:$B$7,"Checkmanually")</f>
        <v>Bronze</v>
      </c>
      <c r="L441" s="3">
        <v>45882</v>
      </c>
    </row>
    <row r="442" spans="1:12" x14ac:dyDescent="0.25">
      <c r="A442" s="2" t="s">
        <v>1821</v>
      </c>
      <c r="B442" s="2" t="s">
        <v>1822</v>
      </c>
      <c r="C442" s="2" t="s">
        <v>33</v>
      </c>
      <c r="D442" s="3">
        <v>35921</v>
      </c>
      <c r="E442" s="2" t="s">
        <v>1823</v>
      </c>
      <c r="F442" s="2" t="s">
        <v>1824</v>
      </c>
      <c r="G442" s="2" t="s">
        <v>63</v>
      </c>
      <c r="H442" s="2" t="s">
        <v>17</v>
      </c>
      <c r="I442" s="2" t="s">
        <v>18</v>
      </c>
      <c r="J442" s="2" t="s">
        <v>25</v>
      </c>
      <c r="K442" s="2" t="str">
        <f>_xlfn.XLOOKUP(TRIM(Table1[[#This Row],[Membership]]),Sheet2!$A$2:$A$7,Sheet2!$B$2:$B$7,"Checkmanually")</f>
        <v>Silver</v>
      </c>
      <c r="L442" s="3">
        <v>44303</v>
      </c>
    </row>
    <row r="443" spans="1:12" x14ac:dyDescent="0.25">
      <c r="A443" s="2" t="s">
        <v>1825</v>
      </c>
      <c r="B443" s="2" t="s">
        <v>1826</v>
      </c>
      <c r="C443" s="2" t="s">
        <v>13</v>
      </c>
      <c r="D443" s="3">
        <v>30078</v>
      </c>
      <c r="E443" s="2" t="s">
        <v>1827</v>
      </c>
      <c r="F443" s="2" t="s">
        <v>1828</v>
      </c>
      <c r="G443" s="2" t="s">
        <v>121</v>
      </c>
      <c r="H443" s="2" t="s">
        <v>122</v>
      </c>
      <c r="I443" s="2" t="s">
        <v>18</v>
      </c>
      <c r="J443" s="2" t="s">
        <v>25</v>
      </c>
      <c r="K443" s="2" t="str">
        <f>_xlfn.XLOOKUP(TRIM(Table1[[#This Row],[Membership]]),Sheet2!$A$2:$A$7,Sheet2!$B$2:$B$7,"Checkmanually")</f>
        <v>Silver</v>
      </c>
      <c r="L443" s="3">
        <v>45734</v>
      </c>
    </row>
    <row r="444" spans="1:12" x14ac:dyDescent="0.25">
      <c r="A444" s="2" t="s">
        <v>1829</v>
      </c>
      <c r="B444" s="2" t="s">
        <v>1830</v>
      </c>
      <c r="C444" s="2" t="s">
        <v>33</v>
      </c>
      <c r="D444" s="3">
        <v>36089</v>
      </c>
      <c r="E444" s="2" t="s">
        <v>1831</v>
      </c>
      <c r="F444" s="2" t="s">
        <v>1832</v>
      </c>
      <c r="G444" s="2" t="s">
        <v>16</v>
      </c>
      <c r="H444" s="2" t="s">
        <v>17</v>
      </c>
      <c r="I444" s="2" t="s">
        <v>18</v>
      </c>
      <c r="J444" s="2" t="s">
        <v>19</v>
      </c>
      <c r="K444" s="2" t="str">
        <f>_xlfn.XLOOKUP(TRIM(Table1[[#This Row],[Membership]]),Sheet2!$A$2:$A$7,Sheet2!$B$2:$B$7,"Checkmanually")</f>
        <v>Bronze</v>
      </c>
      <c r="L444" s="3">
        <v>43336</v>
      </c>
    </row>
    <row r="445" spans="1:12" x14ac:dyDescent="0.25">
      <c r="A445" s="2" t="s">
        <v>1833</v>
      </c>
      <c r="B445" s="2" t="s">
        <v>1834</v>
      </c>
      <c r="C445" s="2" t="s">
        <v>13</v>
      </c>
      <c r="D445" s="3">
        <v>31686</v>
      </c>
      <c r="E445" s="2" t="s">
        <v>1835</v>
      </c>
      <c r="F445" s="2" t="s">
        <v>1836</v>
      </c>
      <c r="G445" s="2" t="s">
        <v>90</v>
      </c>
      <c r="H445" s="2" t="s">
        <v>91</v>
      </c>
      <c r="I445" s="2" t="s">
        <v>18</v>
      </c>
      <c r="J445" s="2" t="s">
        <v>25</v>
      </c>
      <c r="K445" s="2" t="str">
        <f>_xlfn.XLOOKUP(TRIM(Table1[[#This Row],[Membership]]),Sheet2!$A$2:$A$7,Sheet2!$B$2:$B$7,"Checkmanually")</f>
        <v>Silver</v>
      </c>
      <c r="L445" s="3">
        <v>43539</v>
      </c>
    </row>
    <row r="446" spans="1:12" x14ac:dyDescent="0.25">
      <c r="A446" s="2" t="s">
        <v>1837</v>
      </c>
      <c r="B446" s="2" t="s">
        <v>1838</v>
      </c>
      <c r="C446" s="2" t="s">
        <v>13</v>
      </c>
      <c r="D446" s="3">
        <v>20380</v>
      </c>
      <c r="E446" s="2" t="s">
        <v>1839</v>
      </c>
      <c r="F446" s="2" t="s">
        <v>1840</v>
      </c>
      <c r="G446" s="2" t="s">
        <v>228</v>
      </c>
      <c r="H446" s="2" t="s">
        <v>17</v>
      </c>
      <c r="I446" s="2" t="s">
        <v>18</v>
      </c>
      <c r="J446" s="2" t="s">
        <v>25</v>
      </c>
      <c r="K446" s="2" t="str">
        <f>_xlfn.XLOOKUP(TRIM(Table1[[#This Row],[Membership]]),Sheet2!$A$2:$A$7,Sheet2!$B$2:$B$7,"Checkmanually")</f>
        <v>Silver</v>
      </c>
      <c r="L446" s="3">
        <v>43516</v>
      </c>
    </row>
    <row r="447" spans="1:12" x14ac:dyDescent="0.25">
      <c r="A447" s="2" t="s">
        <v>1841</v>
      </c>
      <c r="B447" s="2" t="s">
        <v>1842</v>
      </c>
      <c r="C447" s="2" t="s">
        <v>33</v>
      </c>
      <c r="D447" s="3">
        <v>25126</v>
      </c>
      <c r="E447" s="2" t="s">
        <v>1843</v>
      </c>
      <c r="F447" s="2" t="s">
        <v>1844</v>
      </c>
      <c r="G447" s="2" t="s">
        <v>63</v>
      </c>
      <c r="H447" s="2" t="s">
        <v>17</v>
      </c>
      <c r="I447" s="2"/>
      <c r="J447" s="2" t="s">
        <v>25</v>
      </c>
      <c r="K447" s="2" t="str">
        <f>_xlfn.XLOOKUP(TRIM(Table1[[#This Row],[Membership]]),Sheet2!$A$2:$A$7,Sheet2!$B$2:$B$7,"Checkmanually")</f>
        <v>Silver</v>
      </c>
      <c r="L447" s="3">
        <v>44783</v>
      </c>
    </row>
    <row r="448" spans="1:12" x14ac:dyDescent="0.25">
      <c r="A448" s="2" t="s">
        <v>1845</v>
      </c>
      <c r="B448" s="2" t="s">
        <v>1846</v>
      </c>
      <c r="C448" s="2" t="s">
        <v>13</v>
      </c>
      <c r="D448" s="3">
        <v>28286</v>
      </c>
      <c r="E448" s="2" t="s">
        <v>1847</v>
      </c>
      <c r="F448" s="2" t="s">
        <v>1848</v>
      </c>
      <c r="G448" s="2" t="s">
        <v>577</v>
      </c>
      <c r="H448" s="2" t="s">
        <v>388</v>
      </c>
      <c r="I448" s="2" t="s">
        <v>146</v>
      </c>
      <c r="J448" s="2" t="s">
        <v>19</v>
      </c>
      <c r="K448" s="2" t="str">
        <f>_xlfn.XLOOKUP(TRIM(Table1[[#This Row],[Membership]]),Sheet2!$A$2:$A$7,Sheet2!$B$2:$B$7,"Checkmanually")</f>
        <v>Bronze</v>
      </c>
      <c r="L448" s="3">
        <v>44027</v>
      </c>
    </row>
    <row r="449" spans="1:12" x14ac:dyDescent="0.25">
      <c r="A449" s="2" t="s">
        <v>1849</v>
      </c>
      <c r="B449" s="2" t="s">
        <v>1850</v>
      </c>
      <c r="C449" s="2" t="s">
        <v>33</v>
      </c>
      <c r="D449" s="3">
        <v>26059</v>
      </c>
      <c r="E449" s="2" t="s">
        <v>1851</v>
      </c>
      <c r="F449" s="2" t="s">
        <v>1852</v>
      </c>
      <c r="G449" s="2" t="s">
        <v>30</v>
      </c>
      <c r="H449" s="2" t="s">
        <v>17</v>
      </c>
      <c r="I449" s="2" t="s">
        <v>18</v>
      </c>
      <c r="J449" s="2" t="s">
        <v>25</v>
      </c>
      <c r="K449" s="2" t="str">
        <f>_xlfn.XLOOKUP(TRIM(Table1[[#This Row],[Membership]]),Sheet2!$A$2:$A$7,Sheet2!$B$2:$B$7,"Checkmanually")</f>
        <v>Silver</v>
      </c>
      <c r="L449" s="3">
        <v>45298</v>
      </c>
    </row>
    <row r="450" spans="1:12" x14ac:dyDescent="0.25">
      <c r="A450" s="2" t="s">
        <v>1853</v>
      </c>
      <c r="B450" s="2" t="s">
        <v>1854</v>
      </c>
      <c r="C450" s="2" t="s">
        <v>13</v>
      </c>
      <c r="D450" s="3">
        <v>34486</v>
      </c>
      <c r="E450" s="2" t="s">
        <v>1855</v>
      </c>
      <c r="F450" s="2" t="s">
        <v>1856</v>
      </c>
      <c r="G450" s="2" t="s">
        <v>90</v>
      </c>
      <c r="H450" s="2" t="s">
        <v>91</v>
      </c>
      <c r="I450" s="2" t="s">
        <v>18</v>
      </c>
      <c r="J450" s="2" t="s">
        <v>19</v>
      </c>
      <c r="K450" s="2" t="str">
        <f>_xlfn.XLOOKUP(TRIM(Table1[[#This Row],[Membership]]),Sheet2!$A$2:$A$7,Sheet2!$B$2:$B$7,"Checkmanually")</f>
        <v>Bronze</v>
      </c>
      <c r="L450" s="3">
        <v>43763</v>
      </c>
    </row>
    <row r="451" spans="1:12" x14ac:dyDescent="0.25">
      <c r="A451" s="2" t="s">
        <v>1857</v>
      </c>
      <c r="B451" s="2" t="s">
        <v>1858</v>
      </c>
      <c r="C451" s="2" t="s">
        <v>13</v>
      </c>
      <c r="D451" s="3">
        <v>26593</v>
      </c>
      <c r="E451" s="2" t="s">
        <v>1859</v>
      </c>
      <c r="F451" s="2" t="s">
        <v>1860</v>
      </c>
      <c r="G451" s="2" t="s">
        <v>131</v>
      </c>
      <c r="H451" s="2" t="s">
        <v>91</v>
      </c>
      <c r="I451" s="2" t="s">
        <v>18</v>
      </c>
      <c r="J451" s="2" t="s">
        <v>183</v>
      </c>
      <c r="K451" s="2" t="str">
        <f>_xlfn.XLOOKUP(TRIM(Table1[[#This Row],[Membership]]),Sheet2!$A$2:$A$7,Sheet2!$B$2:$B$7,"Checkmanually")</f>
        <v>Gold</v>
      </c>
      <c r="L451" s="3">
        <v>43554</v>
      </c>
    </row>
    <row r="452" spans="1:12" x14ac:dyDescent="0.25">
      <c r="A452" s="2" t="s">
        <v>1861</v>
      </c>
      <c r="B452" s="2" t="s">
        <v>1862</v>
      </c>
      <c r="C452" s="2" t="s">
        <v>13</v>
      </c>
      <c r="D452" s="3">
        <v>30943</v>
      </c>
      <c r="E452" s="2" t="s">
        <v>1863</v>
      </c>
      <c r="F452" s="2" t="s">
        <v>1864</v>
      </c>
      <c r="G452" s="2" t="s">
        <v>228</v>
      </c>
      <c r="H452" s="2" t="s">
        <v>17</v>
      </c>
      <c r="I452" s="2" t="s">
        <v>18</v>
      </c>
      <c r="J452" s="2" t="s">
        <v>25</v>
      </c>
      <c r="K452" s="2" t="str">
        <f>_xlfn.XLOOKUP(TRIM(Table1[[#This Row],[Membership]]),Sheet2!$A$2:$A$7,Sheet2!$B$2:$B$7,"Checkmanually")</f>
        <v>Silver</v>
      </c>
      <c r="L452" s="3">
        <v>43230</v>
      </c>
    </row>
    <row r="453" spans="1:12" x14ac:dyDescent="0.25">
      <c r="A453" s="2" t="s">
        <v>1865</v>
      </c>
      <c r="B453" s="2" t="s">
        <v>1866</v>
      </c>
      <c r="C453" s="2" t="s">
        <v>13</v>
      </c>
      <c r="D453" s="3">
        <v>28799</v>
      </c>
      <c r="E453" s="2" t="s">
        <v>1867</v>
      </c>
      <c r="F453" s="2" t="s">
        <v>1868</v>
      </c>
      <c r="G453" s="2" t="s">
        <v>90</v>
      </c>
      <c r="H453" s="2" t="s">
        <v>91</v>
      </c>
      <c r="I453" s="2" t="s">
        <v>18</v>
      </c>
      <c r="J453" s="2" t="s">
        <v>19</v>
      </c>
      <c r="K453" s="2" t="str">
        <f>_xlfn.XLOOKUP(TRIM(Table1[[#This Row],[Membership]]),Sheet2!$A$2:$A$7,Sheet2!$B$2:$B$7,"Checkmanually")</f>
        <v>Bronze</v>
      </c>
      <c r="L453" s="3">
        <v>43587</v>
      </c>
    </row>
    <row r="454" spans="1:12" x14ac:dyDescent="0.25">
      <c r="A454" s="2" t="s">
        <v>1869</v>
      </c>
      <c r="B454" s="2" t="s">
        <v>1870</v>
      </c>
      <c r="C454" s="2" t="s">
        <v>33</v>
      </c>
      <c r="D454" s="3">
        <v>24265</v>
      </c>
      <c r="E454" s="2" t="s">
        <v>1871</v>
      </c>
      <c r="F454" s="2" t="s">
        <v>1872</v>
      </c>
      <c r="G454" s="2" t="s">
        <v>90</v>
      </c>
      <c r="H454" s="2" t="s">
        <v>91</v>
      </c>
      <c r="I454" s="2" t="s">
        <v>18</v>
      </c>
      <c r="J454" s="2" t="s">
        <v>19</v>
      </c>
      <c r="K454" s="2" t="str">
        <f>_xlfn.XLOOKUP(TRIM(Table1[[#This Row],[Membership]]),Sheet2!$A$2:$A$7,Sheet2!$B$2:$B$7,"Checkmanually")</f>
        <v>Bronze</v>
      </c>
      <c r="L454" s="3">
        <v>44431</v>
      </c>
    </row>
    <row r="455" spans="1:12" x14ac:dyDescent="0.25">
      <c r="A455" s="2" t="s">
        <v>1873</v>
      </c>
      <c r="B455" s="2" t="s">
        <v>1874</v>
      </c>
      <c r="C455" s="2" t="s">
        <v>33</v>
      </c>
      <c r="D455" s="3">
        <v>32831</v>
      </c>
      <c r="E455" s="2" t="s">
        <v>1875</v>
      </c>
      <c r="F455" s="2" t="s">
        <v>1876</v>
      </c>
      <c r="G455" s="2" t="s">
        <v>131</v>
      </c>
      <c r="H455" s="2" t="s">
        <v>91</v>
      </c>
      <c r="I455" s="2" t="s">
        <v>18</v>
      </c>
      <c r="J455" s="2" t="s">
        <v>25</v>
      </c>
      <c r="K455" s="2" t="str">
        <f>_xlfn.XLOOKUP(TRIM(Table1[[#This Row],[Membership]]),Sheet2!$A$2:$A$7,Sheet2!$B$2:$B$7,"Checkmanually")</f>
        <v>Silver</v>
      </c>
      <c r="L455" s="3">
        <v>43639</v>
      </c>
    </row>
    <row r="456" spans="1:12" x14ac:dyDescent="0.25">
      <c r="A456" s="2" t="s">
        <v>1877</v>
      </c>
      <c r="B456" s="2" t="s">
        <v>1878</v>
      </c>
      <c r="C456" s="2" t="s">
        <v>13</v>
      </c>
      <c r="D456" s="3">
        <v>36474</v>
      </c>
      <c r="E456" s="2" t="s">
        <v>1879</v>
      </c>
      <c r="F456" s="2" t="s">
        <v>1880</v>
      </c>
      <c r="G456" s="2" t="s">
        <v>577</v>
      </c>
      <c r="H456" s="2" t="s">
        <v>388</v>
      </c>
      <c r="I456" s="2" t="s">
        <v>146</v>
      </c>
      <c r="J456" s="2" t="s">
        <v>183</v>
      </c>
      <c r="K456" s="2" t="str">
        <f>_xlfn.XLOOKUP(TRIM(Table1[[#This Row],[Membership]]),Sheet2!$A$2:$A$7,Sheet2!$B$2:$B$7,"Checkmanually")</f>
        <v>Gold</v>
      </c>
      <c r="L456" s="3">
        <v>43156</v>
      </c>
    </row>
    <row r="457" spans="1:12" x14ac:dyDescent="0.25">
      <c r="A457" s="2" t="s">
        <v>1881</v>
      </c>
      <c r="B457" s="2" t="s">
        <v>1882</v>
      </c>
      <c r="C457" s="2" t="s">
        <v>13</v>
      </c>
      <c r="D457" s="3">
        <v>31301</v>
      </c>
      <c r="E457" s="2" t="s">
        <v>1883</v>
      </c>
      <c r="F457" s="2" t="s">
        <v>1884</v>
      </c>
      <c r="G457" s="2" t="s">
        <v>16</v>
      </c>
      <c r="H457" s="2" t="s">
        <v>17</v>
      </c>
      <c r="I457" s="2" t="s">
        <v>18</v>
      </c>
      <c r="J457" s="2" t="s">
        <v>19</v>
      </c>
      <c r="K457" s="2" t="str">
        <f>_xlfn.XLOOKUP(TRIM(Table1[[#This Row],[Membership]]),Sheet2!$A$2:$A$7,Sheet2!$B$2:$B$7,"Checkmanually")</f>
        <v>Bronze</v>
      </c>
      <c r="L457" s="3">
        <v>44860</v>
      </c>
    </row>
    <row r="458" spans="1:12" x14ac:dyDescent="0.25">
      <c r="A458" s="2" t="s">
        <v>1885</v>
      </c>
      <c r="B458" s="2" t="s">
        <v>1886</v>
      </c>
      <c r="C458" s="2" t="s">
        <v>13</v>
      </c>
      <c r="D458" s="3">
        <v>29337</v>
      </c>
      <c r="E458" s="2" t="s">
        <v>1887</v>
      </c>
      <c r="F458" s="2" t="s">
        <v>1888</v>
      </c>
      <c r="G458" s="2" t="s">
        <v>131</v>
      </c>
      <c r="H458" s="2" t="s">
        <v>91</v>
      </c>
      <c r="I458" s="2" t="s">
        <v>18</v>
      </c>
      <c r="J458" s="2" t="s">
        <v>25</v>
      </c>
      <c r="K458" s="2" t="str">
        <f>_xlfn.XLOOKUP(TRIM(Table1[[#This Row],[Membership]]),Sheet2!$A$2:$A$7,Sheet2!$B$2:$B$7,"Checkmanually")</f>
        <v>Silver</v>
      </c>
      <c r="L458" s="3">
        <v>45091</v>
      </c>
    </row>
    <row r="459" spans="1:12" x14ac:dyDescent="0.25">
      <c r="A459" s="2" t="s">
        <v>1889</v>
      </c>
      <c r="B459" s="2" t="s">
        <v>1890</v>
      </c>
      <c r="C459" s="2" t="s">
        <v>33</v>
      </c>
      <c r="D459" s="3">
        <v>36842</v>
      </c>
      <c r="E459" s="2" t="s">
        <v>1891</v>
      </c>
      <c r="F459" s="2" t="s">
        <v>1892</v>
      </c>
      <c r="G459" s="2" t="s">
        <v>54</v>
      </c>
      <c r="H459" s="2" t="s">
        <v>17</v>
      </c>
      <c r="I459" s="2" t="s">
        <v>18</v>
      </c>
      <c r="J459" s="2" t="s">
        <v>19</v>
      </c>
      <c r="K459" s="2" t="str">
        <f>_xlfn.XLOOKUP(TRIM(Table1[[#This Row],[Membership]]),Sheet2!$A$2:$A$7,Sheet2!$B$2:$B$7,"Checkmanually")</f>
        <v>Bronze</v>
      </c>
      <c r="L459" s="3">
        <v>43866</v>
      </c>
    </row>
    <row r="460" spans="1:12" x14ac:dyDescent="0.25">
      <c r="A460" s="2" t="s">
        <v>1893</v>
      </c>
      <c r="B460" s="2" t="s">
        <v>1894</v>
      </c>
      <c r="C460" s="2" t="s">
        <v>33</v>
      </c>
      <c r="D460" s="3">
        <v>28195</v>
      </c>
      <c r="E460" s="2" t="s">
        <v>1895</v>
      </c>
      <c r="F460" s="2" t="s">
        <v>1896</v>
      </c>
      <c r="G460" s="2" t="s">
        <v>63</v>
      </c>
      <c r="H460" s="2" t="s">
        <v>17</v>
      </c>
      <c r="I460" s="2" t="s">
        <v>18</v>
      </c>
      <c r="J460" s="2" t="s">
        <v>19</v>
      </c>
      <c r="K460" s="2" t="str">
        <f>_xlfn.XLOOKUP(TRIM(Table1[[#This Row],[Membership]]),Sheet2!$A$2:$A$7,Sheet2!$B$2:$B$7,"Checkmanually")</f>
        <v>Bronze</v>
      </c>
      <c r="L460" s="3">
        <v>45830</v>
      </c>
    </row>
    <row r="461" spans="1:12" x14ac:dyDescent="0.25">
      <c r="A461" s="2" t="s">
        <v>1897</v>
      </c>
      <c r="B461" s="2" t="s">
        <v>1898</v>
      </c>
      <c r="C461" s="2" t="s">
        <v>33</v>
      </c>
      <c r="D461" s="3">
        <v>23467</v>
      </c>
      <c r="E461" s="2" t="s">
        <v>1899</v>
      </c>
      <c r="F461" s="2" t="s">
        <v>1900</v>
      </c>
      <c r="G461" s="2" t="s">
        <v>90</v>
      </c>
      <c r="H461" s="2" t="s">
        <v>91</v>
      </c>
      <c r="I461" s="2" t="s">
        <v>18</v>
      </c>
      <c r="J461" s="2" t="s">
        <v>19</v>
      </c>
      <c r="K461" s="2" t="str">
        <f>_xlfn.XLOOKUP(TRIM(Table1[[#This Row],[Membership]]),Sheet2!$A$2:$A$7,Sheet2!$B$2:$B$7,"Checkmanually")</f>
        <v>Bronze</v>
      </c>
      <c r="L461" s="3">
        <v>45972</v>
      </c>
    </row>
    <row r="462" spans="1:12" x14ac:dyDescent="0.25">
      <c r="A462" s="2" t="s">
        <v>1901</v>
      </c>
      <c r="B462" s="2" t="s">
        <v>1902</v>
      </c>
      <c r="C462" s="2" t="s">
        <v>33</v>
      </c>
      <c r="D462" s="3">
        <v>24963</v>
      </c>
      <c r="E462" s="2" t="s">
        <v>1903</v>
      </c>
      <c r="F462" s="2" t="s">
        <v>1904</v>
      </c>
      <c r="G462" s="2" t="s">
        <v>228</v>
      </c>
      <c r="H462" s="2" t="s">
        <v>17</v>
      </c>
      <c r="I462" s="2" t="s">
        <v>18</v>
      </c>
      <c r="J462" s="2" t="s">
        <v>183</v>
      </c>
      <c r="K462" s="2" t="str">
        <f>_xlfn.XLOOKUP(TRIM(Table1[[#This Row],[Membership]]),Sheet2!$A$2:$A$7,Sheet2!$B$2:$B$7,"Checkmanually")</f>
        <v>Gold</v>
      </c>
      <c r="L462" s="3">
        <v>44040</v>
      </c>
    </row>
    <row r="463" spans="1:12" x14ac:dyDescent="0.25">
      <c r="A463" s="2" t="s">
        <v>1905</v>
      </c>
      <c r="B463" s="2" t="s">
        <v>1906</v>
      </c>
      <c r="C463" s="2" t="s">
        <v>13</v>
      </c>
      <c r="D463" s="3">
        <v>26387</v>
      </c>
      <c r="E463" s="2" t="s">
        <v>1907</v>
      </c>
      <c r="F463" s="2" t="s">
        <v>1908</v>
      </c>
      <c r="G463" s="2" t="s">
        <v>16</v>
      </c>
      <c r="H463" s="2" t="s">
        <v>17</v>
      </c>
      <c r="I463" s="2" t="s">
        <v>18</v>
      </c>
      <c r="J463" s="2" t="s">
        <v>25</v>
      </c>
      <c r="K463" s="2" t="str">
        <f>_xlfn.XLOOKUP(TRIM(Table1[[#This Row],[Membership]]),Sheet2!$A$2:$A$7,Sheet2!$B$2:$B$7,"Checkmanually")</f>
        <v>Silver</v>
      </c>
      <c r="L463" s="3">
        <v>43699</v>
      </c>
    </row>
    <row r="464" spans="1:12" x14ac:dyDescent="0.25">
      <c r="A464" s="2" t="s">
        <v>1909</v>
      </c>
      <c r="B464" s="2" t="s">
        <v>1910</v>
      </c>
      <c r="C464" s="2" t="s">
        <v>13</v>
      </c>
      <c r="D464" s="3">
        <v>21759</v>
      </c>
      <c r="E464" s="2" t="s">
        <v>1911</v>
      </c>
      <c r="F464" s="2" t="s">
        <v>1912</v>
      </c>
      <c r="G464" s="2" t="s">
        <v>54</v>
      </c>
      <c r="H464" s="2" t="s">
        <v>17</v>
      </c>
      <c r="I464" s="2" t="s">
        <v>18</v>
      </c>
      <c r="J464" s="2" t="s">
        <v>183</v>
      </c>
      <c r="K464" s="2" t="str">
        <f>_xlfn.XLOOKUP(TRIM(Table1[[#This Row],[Membership]]),Sheet2!$A$2:$A$7,Sheet2!$B$2:$B$7,"Checkmanually")</f>
        <v>Gold</v>
      </c>
      <c r="L464" s="3">
        <v>44658</v>
      </c>
    </row>
    <row r="465" spans="1:12" x14ac:dyDescent="0.25">
      <c r="A465" s="2" t="s">
        <v>1913</v>
      </c>
      <c r="B465" s="2" t="s">
        <v>1914</v>
      </c>
      <c r="C465" s="2" t="s">
        <v>33</v>
      </c>
      <c r="D465" s="3">
        <v>34051</v>
      </c>
      <c r="E465" s="2" t="s">
        <v>1915</v>
      </c>
      <c r="F465" s="2" t="s">
        <v>1916</v>
      </c>
      <c r="G465" s="2" t="s">
        <v>54</v>
      </c>
      <c r="H465" s="2" t="s">
        <v>17</v>
      </c>
      <c r="I465" s="2" t="s">
        <v>18</v>
      </c>
      <c r="J465" s="2" t="s">
        <v>25</v>
      </c>
      <c r="K465" s="2" t="str">
        <f>_xlfn.XLOOKUP(TRIM(Table1[[#This Row],[Membership]]),Sheet2!$A$2:$A$7,Sheet2!$B$2:$B$7,"Checkmanually")</f>
        <v>Silver</v>
      </c>
      <c r="L465" s="3">
        <v>45063</v>
      </c>
    </row>
    <row r="466" spans="1:12" x14ac:dyDescent="0.25">
      <c r="A466" s="2" t="s">
        <v>1917</v>
      </c>
      <c r="B466" s="2" t="s">
        <v>1918</v>
      </c>
      <c r="C466" s="2" t="s">
        <v>33</v>
      </c>
      <c r="D466" s="3">
        <v>28912</v>
      </c>
      <c r="E466" s="2" t="s">
        <v>1919</v>
      </c>
      <c r="F466" s="2" t="s">
        <v>1920</v>
      </c>
      <c r="G466" s="2" t="s">
        <v>16</v>
      </c>
      <c r="H466" s="2" t="s">
        <v>17</v>
      </c>
      <c r="I466" s="2" t="s">
        <v>18</v>
      </c>
      <c r="J466" s="2" t="s">
        <v>25</v>
      </c>
      <c r="K466" s="2" t="str">
        <f>_xlfn.XLOOKUP(TRIM(Table1[[#This Row],[Membership]]),Sheet2!$A$2:$A$7,Sheet2!$B$2:$B$7,"Checkmanually")</f>
        <v>Silver</v>
      </c>
      <c r="L466" s="3">
        <v>44590</v>
      </c>
    </row>
    <row r="467" spans="1:12" x14ac:dyDescent="0.25">
      <c r="A467" s="2" t="s">
        <v>1921</v>
      </c>
      <c r="B467" s="2" t="s">
        <v>1922</v>
      </c>
      <c r="C467" s="2" t="s">
        <v>33</v>
      </c>
      <c r="D467" s="3">
        <v>21648</v>
      </c>
      <c r="E467" s="2" t="s">
        <v>1923</v>
      </c>
      <c r="F467" s="2" t="s">
        <v>1924</v>
      </c>
      <c r="G467" s="2" t="s">
        <v>40</v>
      </c>
      <c r="H467" s="2" t="s">
        <v>41</v>
      </c>
      <c r="I467" s="2" t="s">
        <v>42</v>
      </c>
      <c r="J467" s="2" t="s">
        <v>25</v>
      </c>
      <c r="K467" s="2" t="str">
        <f>_xlfn.XLOOKUP(TRIM(Table1[[#This Row],[Membership]]),Sheet2!$A$2:$A$7,Sheet2!$B$2:$B$7,"Checkmanually")</f>
        <v>Silver</v>
      </c>
      <c r="L467" s="3">
        <v>43845</v>
      </c>
    </row>
    <row r="468" spans="1:12" x14ac:dyDescent="0.25">
      <c r="A468" s="2" t="s">
        <v>1925</v>
      </c>
      <c r="B468" s="2" t="s">
        <v>1926</v>
      </c>
      <c r="C468" s="2" t="s">
        <v>33</v>
      </c>
      <c r="D468" s="3">
        <v>35558</v>
      </c>
      <c r="E468" s="2" t="s">
        <v>1927</v>
      </c>
      <c r="F468" s="2" t="s">
        <v>1928</v>
      </c>
      <c r="G468" s="2" t="s">
        <v>24</v>
      </c>
      <c r="H468" s="2" t="s">
        <v>17</v>
      </c>
      <c r="I468" s="2" t="s">
        <v>18</v>
      </c>
      <c r="J468" s="2" t="s">
        <v>25</v>
      </c>
      <c r="K468" s="2" t="str">
        <f>_xlfn.XLOOKUP(TRIM(Table1[[#This Row],[Membership]]),Sheet2!$A$2:$A$7,Sheet2!$B$2:$B$7,"Checkmanually")</f>
        <v>Silver</v>
      </c>
      <c r="L468" s="3">
        <v>44248</v>
      </c>
    </row>
    <row r="469" spans="1:12" x14ac:dyDescent="0.25">
      <c r="A469" s="2" t="s">
        <v>1929</v>
      </c>
      <c r="B469" s="2" t="s">
        <v>1930</v>
      </c>
      <c r="C469" s="2" t="s">
        <v>33</v>
      </c>
      <c r="D469" s="3">
        <v>36188</v>
      </c>
      <c r="E469" s="2" t="s">
        <v>1931</v>
      </c>
      <c r="F469" s="2" t="s">
        <v>1932</v>
      </c>
      <c r="G469" s="2" t="s">
        <v>228</v>
      </c>
      <c r="H469" s="2" t="s">
        <v>17</v>
      </c>
      <c r="I469" s="2" t="s">
        <v>18</v>
      </c>
      <c r="J469" s="2" t="s">
        <v>25</v>
      </c>
      <c r="K469" s="2" t="str">
        <f>_xlfn.XLOOKUP(TRIM(Table1[[#This Row],[Membership]]),Sheet2!$A$2:$A$7,Sheet2!$B$2:$B$7,"Checkmanually")</f>
        <v>Silver</v>
      </c>
      <c r="L469" s="3">
        <v>44590</v>
      </c>
    </row>
    <row r="470" spans="1:12" x14ac:dyDescent="0.25">
      <c r="A470" s="2" t="s">
        <v>1933</v>
      </c>
      <c r="B470" s="2" t="s">
        <v>1934</v>
      </c>
      <c r="C470" s="2" t="s">
        <v>13</v>
      </c>
      <c r="D470" s="3">
        <v>38170</v>
      </c>
      <c r="E470" s="2" t="s">
        <v>1935</v>
      </c>
      <c r="F470" s="2" t="s">
        <v>1936</v>
      </c>
      <c r="G470" s="2" t="s">
        <v>63</v>
      </c>
      <c r="H470" s="2" t="s">
        <v>17</v>
      </c>
      <c r="I470" s="2" t="s">
        <v>18</v>
      </c>
      <c r="J470" s="2" t="s">
        <v>19</v>
      </c>
      <c r="K470" s="2" t="str">
        <f>_xlfn.XLOOKUP(TRIM(Table1[[#This Row],[Membership]]),Sheet2!$A$2:$A$7,Sheet2!$B$2:$B$7,"Checkmanually")</f>
        <v>Bronze</v>
      </c>
      <c r="L470" s="3">
        <v>43634</v>
      </c>
    </row>
    <row r="471" spans="1:12" x14ac:dyDescent="0.25">
      <c r="A471" s="2" t="s">
        <v>1937</v>
      </c>
      <c r="B471" s="2" t="s">
        <v>1938</v>
      </c>
      <c r="C471" s="2" t="s">
        <v>33</v>
      </c>
      <c r="D471" s="3">
        <v>39387</v>
      </c>
      <c r="E471" s="2" t="s">
        <v>1939</v>
      </c>
      <c r="F471" s="2" t="s">
        <v>1940</v>
      </c>
      <c r="G471" s="2" t="s">
        <v>24</v>
      </c>
      <c r="H471" s="2" t="s">
        <v>17</v>
      </c>
      <c r="I471" s="2" t="s">
        <v>18</v>
      </c>
      <c r="J471" s="2" t="s">
        <v>19</v>
      </c>
      <c r="K471" s="2" t="str">
        <f>_xlfn.XLOOKUP(TRIM(Table1[[#This Row],[Membership]]),Sheet2!$A$2:$A$7,Sheet2!$B$2:$B$7,"Checkmanually")</f>
        <v>Bronze</v>
      </c>
      <c r="L471" s="3">
        <v>45267</v>
      </c>
    </row>
    <row r="472" spans="1:12" x14ac:dyDescent="0.25">
      <c r="A472" s="2" t="s">
        <v>1941</v>
      </c>
      <c r="B472" s="2" t="s">
        <v>1942</v>
      </c>
      <c r="C472" s="2" t="s">
        <v>13</v>
      </c>
      <c r="D472" s="3">
        <v>32674</v>
      </c>
      <c r="E472" s="2" t="s">
        <v>1943</v>
      </c>
      <c r="F472" s="2" t="s">
        <v>1944</v>
      </c>
      <c r="G472" s="2" t="s">
        <v>30</v>
      </c>
      <c r="H472" s="2" t="s">
        <v>17</v>
      </c>
      <c r="I472" s="2" t="s">
        <v>18</v>
      </c>
      <c r="J472" s="2" t="s">
        <v>25</v>
      </c>
      <c r="K472" s="2" t="str">
        <f>_xlfn.XLOOKUP(TRIM(Table1[[#This Row],[Membership]]),Sheet2!$A$2:$A$7,Sheet2!$B$2:$B$7,"Checkmanually")</f>
        <v>Silver</v>
      </c>
      <c r="L472" s="3">
        <v>43458</v>
      </c>
    </row>
    <row r="473" spans="1:12" x14ac:dyDescent="0.25">
      <c r="A473" s="2" t="s">
        <v>1945</v>
      </c>
      <c r="B473" s="2" t="s">
        <v>1946</v>
      </c>
      <c r="C473" s="2" t="s">
        <v>13</v>
      </c>
      <c r="D473" s="3">
        <v>39310</v>
      </c>
      <c r="E473" s="2" t="s">
        <v>1947</v>
      </c>
      <c r="F473" s="2" t="s">
        <v>1948</v>
      </c>
      <c r="G473" s="2" t="s">
        <v>121</v>
      </c>
      <c r="H473" s="2" t="s">
        <v>122</v>
      </c>
      <c r="I473" s="2" t="s">
        <v>18</v>
      </c>
      <c r="J473" s="2" t="s">
        <v>183</v>
      </c>
      <c r="K473" s="2" t="str">
        <f>_xlfn.XLOOKUP(TRIM(Table1[[#This Row],[Membership]]),Sheet2!$A$2:$A$7,Sheet2!$B$2:$B$7,"Checkmanually")</f>
        <v>Gold</v>
      </c>
      <c r="L473" s="3">
        <v>45781</v>
      </c>
    </row>
    <row r="474" spans="1:12" x14ac:dyDescent="0.25">
      <c r="A474" s="2" t="s">
        <v>1949</v>
      </c>
      <c r="B474" s="2" t="s">
        <v>1950</v>
      </c>
      <c r="C474" s="2" t="s">
        <v>13</v>
      </c>
      <c r="D474" s="3">
        <v>22543</v>
      </c>
      <c r="E474" s="2" t="s">
        <v>1951</v>
      </c>
      <c r="F474" s="2" t="s">
        <v>1952</v>
      </c>
      <c r="G474" s="2" t="s">
        <v>90</v>
      </c>
      <c r="H474" s="2" t="s">
        <v>91</v>
      </c>
      <c r="I474" s="2" t="s">
        <v>18</v>
      </c>
      <c r="J474" s="2" t="s">
        <v>19</v>
      </c>
      <c r="K474" s="2" t="str">
        <f>_xlfn.XLOOKUP(TRIM(Table1[[#This Row],[Membership]]),Sheet2!$A$2:$A$7,Sheet2!$B$2:$B$7,"Checkmanually")</f>
        <v>Bronze</v>
      </c>
      <c r="L474" s="3">
        <v>45339</v>
      </c>
    </row>
    <row r="475" spans="1:12" x14ac:dyDescent="0.25">
      <c r="A475" s="2" t="s">
        <v>1953</v>
      </c>
      <c r="B475" s="2" t="s">
        <v>1954</v>
      </c>
      <c r="C475" s="2" t="s">
        <v>13</v>
      </c>
      <c r="D475" s="3">
        <v>26709</v>
      </c>
      <c r="E475" s="2" t="s">
        <v>1955</v>
      </c>
      <c r="F475" s="2" t="s">
        <v>1956</v>
      </c>
      <c r="G475" s="2" t="s">
        <v>90</v>
      </c>
      <c r="H475" s="2" t="s">
        <v>91</v>
      </c>
      <c r="I475" s="2" t="s">
        <v>18</v>
      </c>
      <c r="J475" s="2" t="s">
        <v>19</v>
      </c>
      <c r="K475" s="2" t="str">
        <f>_xlfn.XLOOKUP(TRIM(Table1[[#This Row],[Membership]]),Sheet2!$A$2:$A$7,Sheet2!$B$2:$B$7,"Checkmanually")</f>
        <v>Bronze</v>
      </c>
      <c r="L475" s="3">
        <v>45286</v>
      </c>
    </row>
    <row r="476" spans="1:12" x14ac:dyDescent="0.25">
      <c r="A476" s="2" t="s">
        <v>1957</v>
      </c>
      <c r="B476" s="2" t="s">
        <v>1958</v>
      </c>
      <c r="C476" s="2" t="s">
        <v>33</v>
      </c>
      <c r="D476" s="3">
        <v>38128</v>
      </c>
      <c r="E476" s="2" t="s">
        <v>1959</v>
      </c>
      <c r="F476" s="2" t="s">
        <v>1960</v>
      </c>
      <c r="G476" s="2" t="s">
        <v>228</v>
      </c>
      <c r="H476" s="2" t="s">
        <v>17</v>
      </c>
      <c r="I476" s="2" t="s">
        <v>18</v>
      </c>
      <c r="J476" s="2" t="s">
        <v>183</v>
      </c>
      <c r="K476" s="2" t="str">
        <f>_xlfn.XLOOKUP(TRIM(Table1[[#This Row],[Membership]]),Sheet2!$A$2:$A$7,Sheet2!$B$2:$B$7,"Checkmanually")</f>
        <v>Gold</v>
      </c>
      <c r="L476" s="3">
        <v>46015</v>
      </c>
    </row>
    <row r="477" spans="1:12" x14ac:dyDescent="0.25">
      <c r="A477" s="2" t="s">
        <v>1961</v>
      </c>
      <c r="B477" s="2" t="s">
        <v>1962</v>
      </c>
      <c r="C477" s="2" t="s">
        <v>13</v>
      </c>
      <c r="D477" s="3">
        <v>34785</v>
      </c>
      <c r="E477" s="2" t="s">
        <v>1963</v>
      </c>
      <c r="F477" s="2" t="s">
        <v>1964</v>
      </c>
      <c r="G477" s="2" t="s">
        <v>1965</v>
      </c>
      <c r="H477" s="2" t="s">
        <v>1966</v>
      </c>
      <c r="I477" s="2" t="s">
        <v>42</v>
      </c>
      <c r="J477" s="2" t="s">
        <v>19</v>
      </c>
      <c r="K477" s="2" t="str">
        <f>_xlfn.XLOOKUP(TRIM(Table1[[#This Row],[Membership]]),Sheet2!$A$2:$A$7,Sheet2!$B$2:$B$7,"Checkmanually")</f>
        <v>Bronze</v>
      </c>
      <c r="L477" s="3">
        <v>45680</v>
      </c>
    </row>
    <row r="478" spans="1:12" x14ac:dyDescent="0.25">
      <c r="A478" s="2" t="s">
        <v>1967</v>
      </c>
      <c r="B478" s="2" t="s">
        <v>1968</v>
      </c>
      <c r="C478" s="2" t="s">
        <v>13</v>
      </c>
      <c r="D478" s="3">
        <v>33819</v>
      </c>
      <c r="E478" s="2" t="s">
        <v>1969</v>
      </c>
      <c r="F478" s="2" t="s">
        <v>1970</v>
      </c>
      <c r="G478" s="2" t="s">
        <v>131</v>
      </c>
      <c r="H478" s="2" t="s">
        <v>91</v>
      </c>
      <c r="I478" s="2" t="s">
        <v>18</v>
      </c>
      <c r="J478" s="2" t="s">
        <v>183</v>
      </c>
      <c r="K478" s="2" t="str">
        <f>_xlfn.XLOOKUP(TRIM(Table1[[#This Row],[Membership]]),Sheet2!$A$2:$A$7,Sheet2!$B$2:$B$7,"Checkmanually")</f>
        <v>Gold</v>
      </c>
      <c r="L478" s="3">
        <v>45246</v>
      </c>
    </row>
    <row r="479" spans="1:12" x14ac:dyDescent="0.25">
      <c r="A479" s="2" t="s">
        <v>1971</v>
      </c>
      <c r="B479" s="2" t="s">
        <v>1972</v>
      </c>
      <c r="C479" s="2" t="s">
        <v>33</v>
      </c>
      <c r="D479" s="3">
        <v>24314</v>
      </c>
      <c r="E479" s="2" t="s">
        <v>1973</v>
      </c>
      <c r="F479" s="2" t="s">
        <v>1974</v>
      </c>
      <c r="G479" s="2" t="s">
        <v>228</v>
      </c>
      <c r="H479" s="2" t="s">
        <v>17</v>
      </c>
      <c r="I479" s="2" t="s">
        <v>18</v>
      </c>
      <c r="J479" s="2" t="s">
        <v>19</v>
      </c>
      <c r="K479" s="2" t="str">
        <f>_xlfn.XLOOKUP(TRIM(Table1[[#This Row],[Membership]]),Sheet2!$A$2:$A$7,Sheet2!$B$2:$B$7,"Checkmanually")</f>
        <v>Bronze</v>
      </c>
      <c r="L479" s="3">
        <v>44287</v>
      </c>
    </row>
    <row r="480" spans="1:12" x14ac:dyDescent="0.25">
      <c r="A480" s="2" t="s">
        <v>1975</v>
      </c>
      <c r="B480" s="2" t="s">
        <v>1976</v>
      </c>
      <c r="C480" s="2" t="s">
        <v>33</v>
      </c>
      <c r="D480" s="3">
        <v>33115</v>
      </c>
      <c r="E480" s="2" t="s">
        <v>1977</v>
      </c>
      <c r="F480" s="2" t="s">
        <v>1978</v>
      </c>
      <c r="G480" s="2" t="s">
        <v>577</v>
      </c>
      <c r="H480" s="2" t="s">
        <v>388</v>
      </c>
      <c r="I480" s="2" t="s">
        <v>146</v>
      </c>
      <c r="J480" s="2" t="s">
        <v>19</v>
      </c>
      <c r="K480" s="2" t="str">
        <f>_xlfn.XLOOKUP(TRIM(Table1[[#This Row],[Membership]]),Sheet2!$A$2:$A$7,Sheet2!$B$2:$B$7,"Checkmanually")</f>
        <v>Bronze</v>
      </c>
      <c r="L480" s="3">
        <v>45128</v>
      </c>
    </row>
    <row r="481" spans="1:12" x14ac:dyDescent="0.25">
      <c r="A481" s="2" t="s">
        <v>1979</v>
      </c>
      <c r="B481" s="2" t="s">
        <v>1980</v>
      </c>
      <c r="C481" s="2" t="s">
        <v>13</v>
      </c>
      <c r="D481" s="3">
        <v>25513</v>
      </c>
      <c r="E481" s="2" t="s">
        <v>1981</v>
      </c>
      <c r="F481" s="2" t="s">
        <v>1982</v>
      </c>
      <c r="G481" s="2" t="s">
        <v>84</v>
      </c>
      <c r="H481" s="2" t="s">
        <v>85</v>
      </c>
      <c r="I481" s="2" t="s">
        <v>18</v>
      </c>
      <c r="J481" s="2" t="s">
        <v>19</v>
      </c>
      <c r="K481" s="2" t="str">
        <f>_xlfn.XLOOKUP(TRIM(Table1[[#This Row],[Membership]]),Sheet2!$A$2:$A$7,Sheet2!$B$2:$B$7,"Checkmanually")</f>
        <v>Bronze</v>
      </c>
      <c r="L481" s="3">
        <v>44894</v>
      </c>
    </row>
    <row r="482" spans="1:12" x14ac:dyDescent="0.25">
      <c r="A482" s="2" t="s">
        <v>1983</v>
      </c>
      <c r="B482" s="2" t="s">
        <v>1984</v>
      </c>
      <c r="C482" s="2" t="s">
        <v>13</v>
      </c>
      <c r="D482" s="3">
        <v>33225</v>
      </c>
      <c r="E482" s="2" t="s">
        <v>1985</v>
      </c>
      <c r="F482" s="2" t="s">
        <v>1986</v>
      </c>
      <c r="G482" s="2" t="s">
        <v>84</v>
      </c>
      <c r="H482" s="2" t="s">
        <v>85</v>
      </c>
      <c r="I482" s="2" t="s">
        <v>18</v>
      </c>
      <c r="J482" s="2" t="s">
        <v>19</v>
      </c>
      <c r="K482" s="2" t="str">
        <f>_xlfn.XLOOKUP(TRIM(Table1[[#This Row],[Membership]]),Sheet2!$A$2:$A$7,Sheet2!$B$2:$B$7,"Checkmanually")</f>
        <v>Bronze</v>
      </c>
      <c r="L482" s="3">
        <v>45588</v>
      </c>
    </row>
    <row r="483" spans="1:12" x14ac:dyDescent="0.25">
      <c r="A483" s="2" t="s">
        <v>1987</v>
      </c>
      <c r="B483" s="2" t="s">
        <v>1988</v>
      </c>
      <c r="C483" s="2" t="s">
        <v>33</v>
      </c>
      <c r="D483" s="3">
        <v>27227</v>
      </c>
      <c r="E483" s="2" t="s">
        <v>1989</v>
      </c>
      <c r="F483" s="2" t="s">
        <v>1990</v>
      </c>
      <c r="G483" s="2" t="s">
        <v>16</v>
      </c>
      <c r="H483" s="2" t="s">
        <v>17</v>
      </c>
      <c r="I483" s="2" t="s">
        <v>18</v>
      </c>
      <c r="J483" s="2" t="s">
        <v>183</v>
      </c>
      <c r="K483" s="2" t="str">
        <f>_xlfn.XLOOKUP(TRIM(Table1[[#This Row],[Membership]]),Sheet2!$A$2:$A$7,Sheet2!$B$2:$B$7,"Checkmanually")</f>
        <v>Gold</v>
      </c>
      <c r="L483" s="3">
        <v>45526</v>
      </c>
    </row>
    <row r="484" spans="1:12" x14ac:dyDescent="0.25">
      <c r="A484" s="2" t="s">
        <v>1991</v>
      </c>
      <c r="B484" s="2" t="s">
        <v>1992</v>
      </c>
      <c r="C484" s="2" t="s">
        <v>33</v>
      </c>
      <c r="D484" s="3">
        <v>37295</v>
      </c>
      <c r="E484" s="2" t="s">
        <v>1993</v>
      </c>
      <c r="F484" s="2" t="s">
        <v>1994</v>
      </c>
      <c r="G484" s="2" t="s">
        <v>84</v>
      </c>
      <c r="H484" s="2" t="s">
        <v>85</v>
      </c>
      <c r="I484" s="2" t="s">
        <v>18</v>
      </c>
      <c r="J484" s="2" t="s">
        <v>25</v>
      </c>
      <c r="K484" s="2" t="str">
        <f>_xlfn.XLOOKUP(TRIM(Table1[[#This Row],[Membership]]),Sheet2!$A$2:$A$7,Sheet2!$B$2:$B$7,"Checkmanually")</f>
        <v>Silver</v>
      </c>
      <c r="L484" s="3">
        <v>44161</v>
      </c>
    </row>
    <row r="485" spans="1:12" x14ac:dyDescent="0.25">
      <c r="A485" s="2" t="s">
        <v>1995</v>
      </c>
      <c r="B485" s="2" t="s">
        <v>1996</v>
      </c>
      <c r="C485" s="2" t="s">
        <v>33</v>
      </c>
      <c r="D485" s="3">
        <v>25696</v>
      </c>
      <c r="E485" s="2" t="s">
        <v>1997</v>
      </c>
      <c r="F485" s="2" t="s">
        <v>1998</v>
      </c>
      <c r="G485" s="2" t="s">
        <v>540</v>
      </c>
      <c r="H485" s="2" t="s">
        <v>48</v>
      </c>
      <c r="I485" s="2" t="s">
        <v>49</v>
      </c>
      <c r="J485" s="2" t="s">
        <v>19</v>
      </c>
      <c r="K485" s="2" t="str">
        <f>_xlfn.XLOOKUP(TRIM(Table1[[#This Row],[Membership]]),Sheet2!$A$2:$A$7,Sheet2!$B$2:$B$7,"Checkmanually")</f>
        <v>Bronze</v>
      </c>
      <c r="L485" s="3">
        <v>44018</v>
      </c>
    </row>
    <row r="486" spans="1:12" x14ac:dyDescent="0.25">
      <c r="A486" s="2" t="s">
        <v>1999</v>
      </c>
      <c r="B486" s="2" t="s">
        <v>2000</v>
      </c>
      <c r="C486" s="2" t="s">
        <v>33</v>
      </c>
      <c r="D486" s="3">
        <v>24944</v>
      </c>
      <c r="E486" s="2" t="s">
        <v>2001</v>
      </c>
      <c r="F486" s="2" t="s">
        <v>2002</v>
      </c>
      <c r="G486" s="2" t="s">
        <v>30</v>
      </c>
      <c r="H486" s="2" t="s">
        <v>17</v>
      </c>
      <c r="I486" s="2" t="s">
        <v>18</v>
      </c>
      <c r="J486" s="2" t="s">
        <v>183</v>
      </c>
      <c r="K486" s="2" t="str">
        <f>_xlfn.XLOOKUP(TRIM(Table1[[#This Row],[Membership]]),Sheet2!$A$2:$A$7,Sheet2!$B$2:$B$7,"Checkmanually")</f>
        <v>Gold</v>
      </c>
      <c r="L486" s="3">
        <v>44238</v>
      </c>
    </row>
    <row r="487" spans="1:12" x14ac:dyDescent="0.25">
      <c r="A487" s="2" t="s">
        <v>2003</v>
      </c>
      <c r="B487" s="2" t="s">
        <v>2004</v>
      </c>
      <c r="C487" s="2" t="s">
        <v>13</v>
      </c>
      <c r="D487" s="3">
        <v>28249</v>
      </c>
      <c r="E487" s="2" t="s">
        <v>2005</v>
      </c>
      <c r="F487" s="2" t="s">
        <v>2006</v>
      </c>
      <c r="G487" s="2" t="s">
        <v>16</v>
      </c>
      <c r="H487" s="2" t="s">
        <v>17</v>
      </c>
      <c r="I487" s="2" t="s">
        <v>18</v>
      </c>
      <c r="J487" s="2" t="s">
        <v>19</v>
      </c>
      <c r="K487" s="2" t="str">
        <f>_xlfn.XLOOKUP(TRIM(Table1[[#This Row],[Membership]]),Sheet2!$A$2:$A$7,Sheet2!$B$2:$B$7,"Checkmanually")</f>
        <v>Bronze</v>
      </c>
      <c r="L487" s="3">
        <v>43961</v>
      </c>
    </row>
    <row r="488" spans="1:12" x14ac:dyDescent="0.25">
      <c r="A488" s="2" t="s">
        <v>2007</v>
      </c>
      <c r="B488" s="2" t="s">
        <v>2008</v>
      </c>
      <c r="C488" s="2" t="s">
        <v>13</v>
      </c>
      <c r="D488" s="3">
        <v>32185</v>
      </c>
      <c r="E488" s="2" t="s">
        <v>2009</v>
      </c>
      <c r="F488" s="2" t="s">
        <v>2010</v>
      </c>
      <c r="G488" s="2" t="s">
        <v>24</v>
      </c>
      <c r="H488" s="2" t="s">
        <v>17</v>
      </c>
      <c r="I488" s="2" t="s">
        <v>18</v>
      </c>
      <c r="J488" s="2" t="s">
        <v>19</v>
      </c>
      <c r="K488" s="2" t="str">
        <f>_xlfn.XLOOKUP(TRIM(Table1[[#This Row],[Membership]]),Sheet2!$A$2:$A$7,Sheet2!$B$2:$B$7,"Checkmanually")</f>
        <v>Bronze</v>
      </c>
      <c r="L488" s="3">
        <v>44430</v>
      </c>
    </row>
    <row r="489" spans="1:12" x14ac:dyDescent="0.25">
      <c r="A489" s="2" t="s">
        <v>2011</v>
      </c>
      <c r="B489" s="2" t="s">
        <v>2012</v>
      </c>
      <c r="C489" s="2" t="s">
        <v>33</v>
      </c>
      <c r="D489" s="3">
        <v>33470</v>
      </c>
      <c r="E489" s="2" t="s">
        <v>2013</v>
      </c>
      <c r="F489" s="2" t="s">
        <v>2014</v>
      </c>
      <c r="G489" s="2" t="s">
        <v>1965</v>
      </c>
      <c r="H489" s="2" t="s">
        <v>1966</v>
      </c>
      <c r="I489" s="2" t="s">
        <v>42</v>
      </c>
      <c r="J489" s="2" t="s">
        <v>19</v>
      </c>
      <c r="K489" s="2" t="str">
        <f>_xlfn.XLOOKUP(TRIM(Table1[[#This Row],[Membership]]),Sheet2!$A$2:$A$7,Sheet2!$B$2:$B$7,"Checkmanually")</f>
        <v>Bronze</v>
      </c>
      <c r="L489" s="3">
        <v>45605</v>
      </c>
    </row>
    <row r="490" spans="1:12" x14ac:dyDescent="0.25">
      <c r="A490" s="2" t="s">
        <v>2015</v>
      </c>
      <c r="B490" s="2" t="s">
        <v>2016</v>
      </c>
      <c r="C490" s="2" t="s">
        <v>33</v>
      </c>
      <c r="D490" s="3">
        <v>20431</v>
      </c>
      <c r="E490" s="2" t="s">
        <v>2017</v>
      </c>
      <c r="F490" s="2" t="s">
        <v>2018</v>
      </c>
      <c r="G490" s="2" t="s">
        <v>16</v>
      </c>
      <c r="H490" s="2" t="s">
        <v>17</v>
      </c>
      <c r="I490" s="2" t="s">
        <v>18</v>
      </c>
      <c r="J490" s="2" t="s">
        <v>19</v>
      </c>
      <c r="K490" s="2" t="str">
        <f>_xlfn.XLOOKUP(TRIM(Table1[[#This Row],[Membership]]),Sheet2!$A$2:$A$7,Sheet2!$B$2:$B$7,"Checkmanually")</f>
        <v>Bronze</v>
      </c>
      <c r="L490" s="3">
        <v>44557</v>
      </c>
    </row>
    <row r="491" spans="1:12" x14ac:dyDescent="0.25">
      <c r="A491" s="2" t="s">
        <v>2019</v>
      </c>
      <c r="B491" s="2" t="s">
        <v>2020</v>
      </c>
      <c r="C491" s="2" t="s">
        <v>13</v>
      </c>
      <c r="D491" s="3">
        <v>20602</v>
      </c>
      <c r="E491" s="2" t="s">
        <v>2021</v>
      </c>
      <c r="F491" s="2" t="s">
        <v>2022</v>
      </c>
      <c r="G491" s="2" t="s">
        <v>30</v>
      </c>
      <c r="H491" s="2" t="s">
        <v>17</v>
      </c>
      <c r="I491" s="2" t="s">
        <v>18</v>
      </c>
      <c r="J491" s="2" t="s">
        <v>183</v>
      </c>
      <c r="K491" s="2" t="str">
        <f>_xlfn.XLOOKUP(TRIM(Table1[[#This Row],[Membership]]),Sheet2!$A$2:$A$7,Sheet2!$B$2:$B$7,"Checkmanually")</f>
        <v>Gold</v>
      </c>
      <c r="L491" s="3">
        <v>45302</v>
      </c>
    </row>
    <row r="492" spans="1:12" x14ac:dyDescent="0.25">
      <c r="A492" s="2" t="s">
        <v>2023</v>
      </c>
      <c r="B492" s="2" t="s">
        <v>2024</v>
      </c>
      <c r="C492" s="2" t="s">
        <v>33</v>
      </c>
      <c r="D492" s="3">
        <v>32606</v>
      </c>
      <c r="E492" s="2" t="s">
        <v>2025</v>
      </c>
      <c r="F492" s="2" t="s">
        <v>2026</v>
      </c>
      <c r="G492" s="2" t="s">
        <v>104</v>
      </c>
      <c r="H492" s="2" t="s">
        <v>105</v>
      </c>
      <c r="I492" s="2" t="s">
        <v>42</v>
      </c>
      <c r="J492" s="2" t="s">
        <v>19</v>
      </c>
      <c r="K492" s="2" t="str">
        <f>_xlfn.XLOOKUP(TRIM(Table1[[#This Row],[Membership]]),Sheet2!$A$2:$A$7,Sheet2!$B$2:$B$7,"Checkmanually")</f>
        <v>Bronze</v>
      </c>
      <c r="L492" s="3">
        <v>45779</v>
      </c>
    </row>
    <row r="493" spans="1:12" x14ac:dyDescent="0.25">
      <c r="A493" s="2" t="s">
        <v>2027</v>
      </c>
      <c r="B493" s="2" t="s">
        <v>2028</v>
      </c>
      <c r="C493" s="2" t="s">
        <v>33</v>
      </c>
      <c r="D493" s="3">
        <v>27319</v>
      </c>
      <c r="E493" s="2" t="s">
        <v>2029</v>
      </c>
      <c r="F493" s="2" t="s">
        <v>2030</v>
      </c>
      <c r="G493" s="2" t="s">
        <v>115</v>
      </c>
      <c r="H493" s="2" t="s">
        <v>116</v>
      </c>
      <c r="I493" s="2" t="s">
        <v>42</v>
      </c>
      <c r="J493" s="2" t="s">
        <v>19</v>
      </c>
      <c r="K493" s="2" t="str">
        <f>_xlfn.XLOOKUP(TRIM(Table1[[#This Row],[Membership]]),Sheet2!$A$2:$A$7,Sheet2!$B$2:$B$7,"Checkmanually")</f>
        <v>Bronze</v>
      </c>
      <c r="L493" s="3">
        <v>44429</v>
      </c>
    </row>
    <row r="494" spans="1:12" x14ac:dyDescent="0.25">
      <c r="A494" s="2" t="s">
        <v>2031</v>
      </c>
      <c r="B494" s="2" t="s">
        <v>2032</v>
      </c>
      <c r="C494" s="2" t="s">
        <v>33</v>
      </c>
      <c r="D494" s="3">
        <v>27683</v>
      </c>
      <c r="E494" s="2" t="s">
        <v>2033</v>
      </c>
      <c r="F494" s="2" t="s">
        <v>2034</v>
      </c>
      <c r="G494" s="2" t="s">
        <v>131</v>
      </c>
      <c r="H494" s="2" t="s">
        <v>91</v>
      </c>
      <c r="I494" s="2" t="s">
        <v>18</v>
      </c>
      <c r="J494" s="2" t="s">
        <v>183</v>
      </c>
      <c r="K494" s="2" t="str">
        <f>_xlfn.XLOOKUP(TRIM(Table1[[#This Row],[Membership]]),Sheet2!$A$2:$A$7,Sheet2!$B$2:$B$7,"Checkmanually")</f>
        <v>Gold</v>
      </c>
      <c r="L494" s="3">
        <v>46075</v>
      </c>
    </row>
    <row r="495" spans="1:12" x14ac:dyDescent="0.25">
      <c r="A495" s="2" t="s">
        <v>2035</v>
      </c>
      <c r="B495" s="2" t="s">
        <v>2036</v>
      </c>
      <c r="C495" s="2" t="s">
        <v>13</v>
      </c>
      <c r="D495" s="3">
        <v>26037</v>
      </c>
      <c r="E495" s="2" t="s">
        <v>2037</v>
      </c>
      <c r="F495" s="2" t="s">
        <v>2038</v>
      </c>
      <c r="G495" s="2" t="s">
        <v>90</v>
      </c>
      <c r="H495" s="2" t="s">
        <v>91</v>
      </c>
      <c r="I495" s="2" t="s">
        <v>18</v>
      </c>
      <c r="J495" s="2" t="s">
        <v>183</v>
      </c>
      <c r="K495" s="2" t="str">
        <f>_xlfn.XLOOKUP(TRIM(Table1[[#This Row],[Membership]]),Sheet2!$A$2:$A$7,Sheet2!$B$2:$B$7,"Checkmanually")</f>
        <v>Gold</v>
      </c>
      <c r="L495" s="3">
        <v>44982</v>
      </c>
    </row>
    <row r="496" spans="1:12" x14ac:dyDescent="0.25">
      <c r="A496" s="2" t="s">
        <v>2039</v>
      </c>
      <c r="B496" s="2" t="s">
        <v>2040</v>
      </c>
      <c r="C496" s="2" t="s">
        <v>13</v>
      </c>
      <c r="D496" s="3">
        <v>36163</v>
      </c>
      <c r="E496" s="2" t="s">
        <v>2041</v>
      </c>
      <c r="F496" s="2" t="s">
        <v>2042</v>
      </c>
      <c r="G496" s="2" t="s">
        <v>228</v>
      </c>
      <c r="H496" s="2" t="s">
        <v>17</v>
      </c>
      <c r="I496" s="2" t="s">
        <v>18</v>
      </c>
      <c r="J496" s="2" t="s">
        <v>183</v>
      </c>
      <c r="K496" s="2" t="str">
        <f>_xlfn.XLOOKUP(TRIM(Table1[[#This Row],[Membership]]),Sheet2!$A$2:$A$7,Sheet2!$B$2:$B$7,"Checkmanually")</f>
        <v>Gold</v>
      </c>
      <c r="L496" s="3">
        <v>43839</v>
      </c>
    </row>
    <row r="497" spans="1:12" x14ac:dyDescent="0.25">
      <c r="A497" s="2" t="s">
        <v>2043</v>
      </c>
      <c r="B497" s="2" t="s">
        <v>2044</v>
      </c>
      <c r="C497" s="2" t="s">
        <v>33</v>
      </c>
      <c r="D497" s="3">
        <v>25913</v>
      </c>
      <c r="E497" s="2" t="s">
        <v>2045</v>
      </c>
      <c r="F497" s="2" t="s">
        <v>2046</v>
      </c>
      <c r="G497" s="2" t="s">
        <v>30</v>
      </c>
      <c r="H497" s="2" t="s">
        <v>17</v>
      </c>
      <c r="I497" s="2" t="s">
        <v>18</v>
      </c>
      <c r="J497" s="2" t="s">
        <v>183</v>
      </c>
      <c r="K497" s="2" t="str">
        <f>_xlfn.XLOOKUP(TRIM(Table1[[#This Row],[Membership]]),Sheet2!$A$2:$A$7,Sheet2!$B$2:$B$7,"Checkmanually")</f>
        <v>Gold</v>
      </c>
      <c r="L497" s="3">
        <v>44715</v>
      </c>
    </row>
    <row r="498" spans="1:12" x14ac:dyDescent="0.25">
      <c r="A498" s="2" t="s">
        <v>2047</v>
      </c>
      <c r="B498" s="2" t="s">
        <v>2048</v>
      </c>
      <c r="C498" s="2" t="s">
        <v>33</v>
      </c>
      <c r="D498" s="3">
        <v>34062</v>
      </c>
      <c r="E498" s="2" t="s">
        <v>2049</v>
      </c>
      <c r="F498" s="2" t="s">
        <v>2050</v>
      </c>
      <c r="G498" s="2" t="s">
        <v>63</v>
      </c>
      <c r="H498" s="2" t="s">
        <v>17</v>
      </c>
      <c r="I498" s="2" t="s">
        <v>18</v>
      </c>
      <c r="J498" s="2" t="s">
        <v>183</v>
      </c>
      <c r="K498" s="2" t="str">
        <f>_xlfn.XLOOKUP(TRIM(Table1[[#This Row],[Membership]]),Sheet2!$A$2:$A$7,Sheet2!$B$2:$B$7,"Checkmanually")</f>
        <v>Gold</v>
      </c>
      <c r="L498" s="3">
        <v>44105</v>
      </c>
    </row>
    <row r="499" spans="1:12" x14ac:dyDescent="0.25">
      <c r="A499" s="2" t="s">
        <v>2051</v>
      </c>
      <c r="B499" s="2" t="s">
        <v>2052</v>
      </c>
      <c r="C499" s="2" t="s">
        <v>33</v>
      </c>
      <c r="D499" s="3">
        <v>24588</v>
      </c>
      <c r="E499" s="2" t="s">
        <v>2053</v>
      </c>
      <c r="F499" s="2" t="s">
        <v>2054</v>
      </c>
      <c r="G499" s="2" t="s">
        <v>193</v>
      </c>
      <c r="H499" s="2" t="s">
        <v>193</v>
      </c>
      <c r="I499" s="2" t="s">
        <v>49</v>
      </c>
      <c r="J499" s="2" t="s">
        <v>19</v>
      </c>
      <c r="K499" s="2" t="str">
        <f>_xlfn.XLOOKUP(TRIM(Table1[[#This Row],[Membership]]),Sheet2!$A$2:$A$7,Sheet2!$B$2:$B$7,"Checkmanually")</f>
        <v>Bronze</v>
      </c>
      <c r="L499" s="3">
        <v>46077</v>
      </c>
    </row>
    <row r="500" spans="1:12" x14ac:dyDescent="0.25">
      <c r="A500" s="2" t="s">
        <v>2055</v>
      </c>
      <c r="B500" s="2" t="s">
        <v>2056</v>
      </c>
      <c r="C500" s="2" t="s">
        <v>33</v>
      </c>
      <c r="D500" s="3">
        <v>32672</v>
      </c>
      <c r="E500" s="2" t="s">
        <v>2057</v>
      </c>
      <c r="F500" s="2" t="s">
        <v>2058</v>
      </c>
      <c r="G500" s="2" t="s">
        <v>121</v>
      </c>
      <c r="H500" s="2" t="s">
        <v>122</v>
      </c>
      <c r="I500" s="2" t="s">
        <v>18</v>
      </c>
      <c r="J500" s="2" t="s">
        <v>183</v>
      </c>
      <c r="K500" s="2" t="str">
        <f>_xlfn.XLOOKUP(TRIM(Table1[[#This Row],[Membership]]),Sheet2!$A$2:$A$7,Sheet2!$B$2:$B$7,"Checkmanually")</f>
        <v>Gold</v>
      </c>
      <c r="L500" s="3">
        <v>43185</v>
      </c>
    </row>
    <row r="501" spans="1:12" x14ac:dyDescent="0.25">
      <c r="A501" s="2" t="s">
        <v>2059</v>
      </c>
      <c r="B501" s="2" t="s">
        <v>2060</v>
      </c>
      <c r="C501" s="2" t="s">
        <v>13</v>
      </c>
      <c r="D501" s="3">
        <v>22829</v>
      </c>
      <c r="E501" s="2" t="s">
        <v>2061</v>
      </c>
      <c r="F501" s="2" t="s">
        <v>2062</v>
      </c>
      <c r="G501" s="2" t="s">
        <v>16</v>
      </c>
      <c r="H501" s="2" t="s">
        <v>17</v>
      </c>
      <c r="I501" s="2" t="s">
        <v>18</v>
      </c>
      <c r="J501" s="2" t="s">
        <v>183</v>
      </c>
      <c r="K501" s="2" t="str">
        <f>_xlfn.XLOOKUP(TRIM(Table1[[#This Row],[Membership]]),Sheet2!$A$2:$A$7,Sheet2!$B$2:$B$7,"Checkmanually")</f>
        <v>Gold</v>
      </c>
      <c r="L501" s="3">
        <v>44197</v>
      </c>
    </row>
    <row r="502" spans="1:12" x14ac:dyDescent="0.25">
      <c r="A502" s="2" t="s">
        <v>2063</v>
      </c>
      <c r="B502" s="2" t="s">
        <v>2064</v>
      </c>
      <c r="C502" s="2" t="s">
        <v>13</v>
      </c>
      <c r="D502" s="3">
        <v>20397</v>
      </c>
      <c r="E502" s="2" t="s">
        <v>2065</v>
      </c>
      <c r="F502" s="2" t="s">
        <v>2066</v>
      </c>
      <c r="G502" s="2" t="s">
        <v>104</v>
      </c>
      <c r="H502" s="2" t="s">
        <v>105</v>
      </c>
      <c r="I502" s="2" t="s">
        <v>42</v>
      </c>
      <c r="J502" s="2" t="s">
        <v>19</v>
      </c>
      <c r="K502" s="2" t="str">
        <f>_xlfn.XLOOKUP(TRIM(Table1[[#This Row],[Membership]]),Sheet2!$A$2:$A$7,Sheet2!$B$2:$B$7,"Checkmanually")</f>
        <v>Bronze</v>
      </c>
      <c r="L502" s="3">
        <v>43536</v>
      </c>
    </row>
    <row r="503" spans="1:12" x14ac:dyDescent="0.25">
      <c r="A503" s="2" t="s">
        <v>2067</v>
      </c>
      <c r="B503" s="2" t="s">
        <v>2068</v>
      </c>
      <c r="C503" s="2" t="s">
        <v>13</v>
      </c>
      <c r="D503" s="3">
        <v>22874</v>
      </c>
      <c r="E503" s="2" t="s">
        <v>2069</v>
      </c>
      <c r="F503" s="2" t="s">
        <v>2070</v>
      </c>
      <c r="G503" s="2" t="s">
        <v>24</v>
      </c>
      <c r="H503" s="2" t="s">
        <v>17</v>
      </c>
      <c r="I503" s="2" t="s">
        <v>18</v>
      </c>
      <c r="J503" s="2" t="s">
        <v>19</v>
      </c>
      <c r="K503" s="2" t="str">
        <f>_xlfn.XLOOKUP(TRIM(Table1[[#This Row],[Membership]]),Sheet2!$A$2:$A$7,Sheet2!$B$2:$B$7,"Checkmanually")</f>
        <v>Bronze</v>
      </c>
      <c r="L503" s="3">
        <v>43929</v>
      </c>
    </row>
    <row r="504" spans="1:12" x14ac:dyDescent="0.25">
      <c r="A504" s="2" t="s">
        <v>2071</v>
      </c>
      <c r="B504" s="2" t="s">
        <v>2072</v>
      </c>
      <c r="C504" s="2" t="s">
        <v>13</v>
      </c>
      <c r="D504" s="3">
        <v>25435</v>
      </c>
      <c r="E504" s="2" t="s">
        <v>2073</v>
      </c>
      <c r="F504" s="2" t="s">
        <v>2074</v>
      </c>
      <c r="G504" s="2" t="s">
        <v>121</v>
      </c>
      <c r="H504" s="2" t="s">
        <v>122</v>
      </c>
      <c r="I504" s="2" t="s">
        <v>18</v>
      </c>
      <c r="J504" s="2" t="s">
        <v>19</v>
      </c>
      <c r="K504" s="2" t="str">
        <f>_xlfn.XLOOKUP(TRIM(Table1[[#This Row],[Membership]]),Sheet2!$A$2:$A$7,Sheet2!$B$2:$B$7,"Checkmanually")</f>
        <v>Bronze</v>
      </c>
      <c r="L504" s="3">
        <v>44360</v>
      </c>
    </row>
    <row r="505" spans="1:12" x14ac:dyDescent="0.25">
      <c r="A505" s="2" t="s">
        <v>2075</v>
      </c>
      <c r="B505" s="2" t="s">
        <v>2076</v>
      </c>
      <c r="C505" s="2" t="s">
        <v>13</v>
      </c>
      <c r="D505" s="3">
        <v>28854</v>
      </c>
      <c r="E505" s="2" t="s">
        <v>2077</v>
      </c>
      <c r="F505" s="2" t="s">
        <v>2078</v>
      </c>
      <c r="G505" s="2" t="s">
        <v>54</v>
      </c>
      <c r="H505" s="2" t="s">
        <v>17</v>
      </c>
      <c r="I505" s="2" t="s">
        <v>18</v>
      </c>
      <c r="J505" s="2" t="s">
        <v>183</v>
      </c>
      <c r="K505" s="2" t="str">
        <f>_xlfn.XLOOKUP(TRIM(Table1[[#This Row],[Membership]]),Sheet2!$A$2:$A$7,Sheet2!$B$2:$B$7,"Checkmanually")</f>
        <v>Gold</v>
      </c>
      <c r="L505" s="3">
        <v>45671</v>
      </c>
    </row>
    <row r="506" spans="1:12" x14ac:dyDescent="0.25">
      <c r="A506" s="2" t="s">
        <v>2079</v>
      </c>
      <c r="B506" s="2" t="s">
        <v>2080</v>
      </c>
      <c r="C506" s="2" t="s">
        <v>13</v>
      </c>
      <c r="D506" s="3">
        <v>29813</v>
      </c>
      <c r="E506" s="2" t="s">
        <v>2081</v>
      </c>
      <c r="F506" s="2" t="s">
        <v>2082</v>
      </c>
      <c r="G506" s="2" t="s">
        <v>16</v>
      </c>
      <c r="H506" s="2" t="s">
        <v>17</v>
      </c>
      <c r="I506" s="2" t="s">
        <v>18</v>
      </c>
      <c r="J506" s="2" t="s">
        <v>183</v>
      </c>
      <c r="K506" s="2" t="str">
        <f>_xlfn.XLOOKUP(TRIM(Table1[[#This Row],[Membership]]),Sheet2!$A$2:$A$7,Sheet2!$B$2:$B$7,"Checkmanually")</f>
        <v>Gold</v>
      </c>
      <c r="L506" s="3">
        <v>43521</v>
      </c>
    </row>
    <row r="507" spans="1:12" x14ac:dyDescent="0.25">
      <c r="A507" s="2" t="s">
        <v>2083</v>
      </c>
      <c r="B507" s="2" t="s">
        <v>2084</v>
      </c>
      <c r="C507" s="2" t="s">
        <v>33</v>
      </c>
      <c r="D507" s="3">
        <v>27440</v>
      </c>
      <c r="E507" s="2" t="s">
        <v>2085</v>
      </c>
      <c r="F507" s="2" t="s">
        <v>2086</v>
      </c>
      <c r="G507" s="2" t="s">
        <v>273</v>
      </c>
      <c r="H507" s="2" t="s">
        <v>274</v>
      </c>
      <c r="I507" s="2" t="s">
        <v>49</v>
      </c>
      <c r="J507" s="2" t="s">
        <v>183</v>
      </c>
      <c r="K507" s="2" t="str">
        <f>_xlfn.XLOOKUP(TRIM(Table1[[#This Row],[Membership]]),Sheet2!$A$2:$A$7,Sheet2!$B$2:$B$7,"Checkmanually")</f>
        <v>Gold</v>
      </c>
      <c r="L507" s="3">
        <v>43199</v>
      </c>
    </row>
    <row r="508" spans="1:12" x14ac:dyDescent="0.25">
      <c r="A508" s="2" t="s">
        <v>2087</v>
      </c>
      <c r="B508" s="2" t="s">
        <v>2088</v>
      </c>
      <c r="C508" s="2" t="s">
        <v>13</v>
      </c>
      <c r="D508" s="3">
        <v>29489</v>
      </c>
      <c r="E508" s="2" t="s">
        <v>2089</v>
      </c>
      <c r="F508" s="2" t="s">
        <v>2090</v>
      </c>
      <c r="G508" s="2" t="s">
        <v>228</v>
      </c>
      <c r="H508" s="2" t="s">
        <v>17</v>
      </c>
      <c r="I508" s="2" t="s">
        <v>18</v>
      </c>
      <c r="J508" s="2" t="s">
        <v>25</v>
      </c>
      <c r="K508" s="2" t="str">
        <f>_xlfn.XLOOKUP(TRIM(Table1[[#This Row],[Membership]]),Sheet2!$A$2:$A$7,Sheet2!$B$2:$B$7,"Checkmanually")</f>
        <v>Silver</v>
      </c>
      <c r="L508" s="3">
        <v>44026</v>
      </c>
    </row>
    <row r="509" spans="1:12" x14ac:dyDescent="0.25">
      <c r="A509" s="2" t="s">
        <v>2091</v>
      </c>
      <c r="B509" s="2" t="s">
        <v>2092</v>
      </c>
      <c r="C509" s="2" t="s">
        <v>13</v>
      </c>
      <c r="D509" s="3">
        <v>23698</v>
      </c>
      <c r="E509" s="2" t="s">
        <v>2093</v>
      </c>
      <c r="F509" s="2" t="s">
        <v>2094</v>
      </c>
      <c r="G509" s="2" t="s">
        <v>63</v>
      </c>
      <c r="H509" s="2" t="s">
        <v>17</v>
      </c>
      <c r="I509" s="2" t="s">
        <v>18</v>
      </c>
      <c r="J509" s="2" t="s">
        <v>25</v>
      </c>
      <c r="K509" s="2" t="str">
        <f>_xlfn.XLOOKUP(TRIM(Table1[[#This Row],[Membership]]),Sheet2!$A$2:$A$7,Sheet2!$B$2:$B$7,"Checkmanually")</f>
        <v>Silver</v>
      </c>
      <c r="L509" s="3">
        <v>44020</v>
      </c>
    </row>
    <row r="510" spans="1:12" x14ac:dyDescent="0.25">
      <c r="A510" s="2" t="s">
        <v>2095</v>
      </c>
      <c r="B510" s="2" t="s">
        <v>2096</v>
      </c>
      <c r="C510" s="2" t="s">
        <v>13</v>
      </c>
      <c r="D510" s="3">
        <v>31025</v>
      </c>
      <c r="E510" s="2" t="s">
        <v>2097</v>
      </c>
      <c r="F510" s="2" t="s">
        <v>2098</v>
      </c>
      <c r="G510" s="2" t="s">
        <v>540</v>
      </c>
      <c r="H510" s="2" t="s">
        <v>48</v>
      </c>
      <c r="I510" s="2" t="s">
        <v>49</v>
      </c>
      <c r="J510" s="2" t="s">
        <v>183</v>
      </c>
      <c r="K510" s="2" t="str">
        <f>_xlfn.XLOOKUP(TRIM(Table1[[#This Row],[Membership]]),Sheet2!$A$2:$A$7,Sheet2!$B$2:$B$7,"Checkmanually")</f>
        <v>Gold</v>
      </c>
      <c r="L510" s="3">
        <v>43585</v>
      </c>
    </row>
    <row r="511" spans="1:12" x14ac:dyDescent="0.25">
      <c r="A511" s="2" t="s">
        <v>2099</v>
      </c>
      <c r="B511" s="2" t="s">
        <v>2100</v>
      </c>
      <c r="C511" s="2" t="s">
        <v>13</v>
      </c>
      <c r="D511" s="3">
        <v>25924</v>
      </c>
      <c r="E511" s="2" t="s">
        <v>2101</v>
      </c>
      <c r="F511" s="2" t="s">
        <v>2102</v>
      </c>
      <c r="G511" s="2" t="s">
        <v>387</v>
      </c>
      <c r="H511" s="2" t="s">
        <v>388</v>
      </c>
      <c r="I511" s="2" t="s">
        <v>146</v>
      </c>
      <c r="J511" s="2" t="s">
        <v>19</v>
      </c>
      <c r="K511" s="2" t="str">
        <f>_xlfn.XLOOKUP(TRIM(Table1[[#This Row],[Membership]]),Sheet2!$A$2:$A$7,Sheet2!$B$2:$B$7,"Checkmanually")</f>
        <v>Bronze</v>
      </c>
      <c r="L511" s="3">
        <v>44856</v>
      </c>
    </row>
    <row r="512" spans="1:12" x14ac:dyDescent="0.25">
      <c r="A512" s="2" t="s">
        <v>2103</v>
      </c>
      <c r="B512" s="2" t="s">
        <v>2104</v>
      </c>
      <c r="C512" s="2" t="s">
        <v>33</v>
      </c>
      <c r="D512" s="3">
        <v>25012</v>
      </c>
      <c r="E512" s="2" t="s">
        <v>2105</v>
      </c>
      <c r="F512" s="2" t="s">
        <v>2106</v>
      </c>
      <c r="G512" s="2" t="s">
        <v>228</v>
      </c>
      <c r="H512" s="2" t="s">
        <v>17</v>
      </c>
      <c r="I512" s="2" t="s">
        <v>18</v>
      </c>
      <c r="J512" s="2" t="s">
        <v>19</v>
      </c>
      <c r="K512" s="2" t="str">
        <f>_xlfn.XLOOKUP(TRIM(Table1[[#This Row],[Membership]]),Sheet2!$A$2:$A$7,Sheet2!$B$2:$B$7,"Checkmanually")</f>
        <v>Bronze</v>
      </c>
      <c r="L512" s="3">
        <v>45834</v>
      </c>
    </row>
    <row r="513" spans="1:12" x14ac:dyDescent="0.25">
      <c r="A513" s="2" t="s">
        <v>2107</v>
      </c>
      <c r="B513" s="2" t="s">
        <v>2108</v>
      </c>
      <c r="C513" s="2" t="s">
        <v>33</v>
      </c>
      <c r="D513" s="3">
        <v>23495</v>
      </c>
      <c r="E513" s="2" t="s">
        <v>2109</v>
      </c>
      <c r="F513" s="2" t="s">
        <v>2110</v>
      </c>
      <c r="G513" s="2" t="s">
        <v>30</v>
      </c>
      <c r="H513" s="2" t="s">
        <v>17</v>
      </c>
      <c r="I513" s="2" t="s">
        <v>18</v>
      </c>
      <c r="J513" s="2" t="s">
        <v>25</v>
      </c>
      <c r="K513" s="2" t="str">
        <f>_xlfn.XLOOKUP(TRIM(Table1[[#This Row],[Membership]]),Sheet2!$A$2:$A$7,Sheet2!$B$2:$B$7,"Checkmanually")</f>
        <v>Silver</v>
      </c>
      <c r="L513" s="3">
        <v>44211</v>
      </c>
    </row>
    <row r="514" spans="1:12" x14ac:dyDescent="0.25">
      <c r="A514" s="2" t="s">
        <v>2111</v>
      </c>
      <c r="B514" s="2" t="s">
        <v>2112</v>
      </c>
      <c r="C514" s="2" t="s">
        <v>13</v>
      </c>
      <c r="D514" s="3">
        <v>22592</v>
      </c>
      <c r="E514" s="2" t="s">
        <v>2113</v>
      </c>
      <c r="F514" s="2" t="s">
        <v>2114</v>
      </c>
      <c r="G514" s="2" t="s">
        <v>30</v>
      </c>
      <c r="H514" s="2" t="s">
        <v>17</v>
      </c>
      <c r="I514" s="2" t="s">
        <v>18</v>
      </c>
      <c r="J514" s="2" t="s">
        <v>19</v>
      </c>
      <c r="K514" s="2" t="str">
        <f>_xlfn.XLOOKUP(TRIM(Table1[[#This Row],[Membership]]),Sheet2!$A$2:$A$7,Sheet2!$B$2:$B$7,"Checkmanually")</f>
        <v>Bronze</v>
      </c>
      <c r="L514" s="3">
        <v>43109</v>
      </c>
    </row>
    <row r="515" spans="1:12" x14ac:dyDescent="0.25">
      <c r="A515" s="2" t="s">
        <v>2115</v>
      </c>
      <c r="B515" s="2" t="s">
        <v>2116</v>
      </c>
      <c r="C515" s="2" t="s">
        <v>33</v>
      </c>
      <c r="D515" s="3">
        <v>32889</v>
      </c>
      <c r="E515" s="2" t="s">
        <v>2117</v>
      </c>
      <c r="F515" s="2" t="s">
        <v>2118</v>
      </c>
      <c r="G515" s="2" t="s">
        <v>228</v>
      </c>
      <c r="H515" s="2" t="s">
        <v>17</v>
      </c>
      <c r="I515" s="2" t="s">
        <v>18</v>
      </c>
      <c r="J515" s="2" t="s">
        <v>25</v>
      </c>
      <c r="K515" s="2" t="str">
        <f>_xlfn.XLOOKUP(TRIM(Table1[[#This Row],[Membership]]),Sheet2!$A$2:$A$7,Sheet2!$B$2:$B$7,"Checkmanually")</f>
        <v>Silver</v>
      </c>
      <c r="L515" s="3">
        <v>44930</v>
      </c>
    </row>
    <row r="516" spans="1:12" x14ac:dyDescent="0.25">
      <c r="A516" s="2" t="s">
        <v>2119</v>
      </c>
      <c r="B516" s="2" t="s">
        <v>2120</v>
      </c>
      <c r="C516" s="2" t="s">
        <v>33</v>
      </c>
      <c r="D516" s="3">
        <v>23798</v>
      </c>
      <c r="E516" s="2" t="s">
        <v>2121</v>
      </c>
      <c r="F516" s="2" t="s">
        <v>2122</v>
      </c>
      <c r="G516" s="2" t="s">
        <v>90</v>
      </c>
      <c r="H516" s="2" t="s">
        <v>91</v>
      </c>
      <c r="I516" s="2" t="s">
        <v>18</v>
      </c>
      <c r="J516" s="2" t="s">
        <v>19</v>
      </c>
      <c r="K516" s="2" t="str">
        <f>_xlfn.XLOOKUP(TRIM(Table1[[#This Row],[Membership]]),Sheet2!$A$2:$A$7,Sheet2!$B$2:$B$7,"Checkmanually")</f>
        <v>Bronze</v>
      </c>
      <c r="L516" s="3">
        <v>45467</v>
      </c>
    </row>
    <row r="517" spans="1:12" x14ac:dyDescent="0.25">
      <c r="A517" s="2" t="s">
        <v>2123</v>
      </c>
      <c r="B517" s="2" t="s">
        <v>2124</v>
      </c>
      <c r="C517" s="2" t="s">
        <v>13</v>
      </c>
      <c r="D517" s="3">
        <v>24269</v>
      </c>
      <c r="E517" s="2" t="s">
        <v>2125</v>
      </c>
      <c r="F517" s="2" t="s">
        <v>2126</v>
      </c>
      <c r="G517" s="2" t="s">
        <v>273</v>
      </c>
      <c r="H517" s="2" t="s">
        <v>274</v>
      </c>
      <c r="I517" s="2" t="s">
        <v>49</v>
      </c>
      <c r="J517" s="2" t="s">
        <v>183</v>
      </c>
      <c r="K517" s="2" t="str">
        <f>_xlfn.XLOOKUP(TRIM(Table1[[#This Row],[Membership]]),Sheet2!$A$2:$A$7,Sheet2!$B$2:$B$7,"Checkmanually")</f>
        <v>Gold</v>
      </c>
      <c r="L517" s="3">
        <v>43845</v>
      </c>
    </row>
    <row r="518" spans="1:12" x14ac:dyDescent="0.25">
      <c r="A518" s="2" t="s">
        <v>2127</v>
      </c>
      <c r="B518" s="2" t="s">
        <v>2128</v>
      </c>
      <c r="C518" s="2" t="s">
        <v>33</v>
      </c>
      <c r="D518" s="3">
        <v>35860</v>
      </c>
      <c r="E518" s="2" t="s">
        <v>2129</v>
      </c>
      <c r="F518" s="2" t="s">
        <v>2130</v>
      </c>
      <c r="G518" s="2" t="s">
        <v>24</v>
      </c>
      <c r="H518" s="2" t="s">
        <v>17</v>
      </c>
      <c r="I518" s="2" t="s">
        <v>18</v>
      </c>
      <c r="J518" s="2" t="s">
        <v>25</v>
      </c>
      <c r="K518" s="2" t="str">
        <f>_xlfn.XLOOKUP(TRIM(Table1[[#This Row],[Membership]]),Sheet2!$A$2:$A$7,Sheet2!$B$2:$B$7,"Checkmanually")</f>
        <v>Silver</v>
      </c>
      <c r="L518" s="3">
        <v>45941</v>
      </c>
    </row>
    <row r="519" spans="1:12" x14ac:dyDescent="0.25">
      <c r="A519" s="2" t="s">
        <v>2131</v>
      </c>
      <c r="B519" s="2" t="s">
        <v>2132</v>
      </c>
      <c r="C519" s="2" t="s">
        <v>33</v>
      </c>
      <c r="D519" s="3">
        <v>28147</v>
      </c>
      <c r="E519" s="2" t="s">
        <v>2133</v>
      </c>
      <c r="F519" s="2" t="s">
        <v>2134</v>
      </c>
      <c r="G519" s="2" t="s">
        <v>24</v>
      </c>
      <c r="H519" s="2" t="s">
        <v>17</v>
      </c>
      <c r="I519" s="2" t="s">
        <v>18</v>
      </c>
      <c r="J519" s="2" t="s">
        <v>183</v>
      </c>
      <c r="K519" s="2" t="str">
        <f>_xlfn.XLOOKUP(TRIM(Table1[[#This Row],[Membership]]),Sheet2!$A$2:$A$7,Sheet2!$B$2:$B$7,"Checkmanually")</f>
        <v>Gold</v>
      </c>
      <c r="L519" s="3">
        <v>44670</v>
      </c>
    </row>
    <row r="520" spans="1:12" x14ac:dyDescent="0.25">
      <c r="A520" s="2" t="s">
        <v>2135</v>
      </c>
      <c r="B520" s="2" t="s">
        <v>2136</v>
      </c>
      <c r="C520" s="2" t="s">
        <v>13</v>
      </c>
      <c r="D520" s="3">
        <v>37538</v>
      </c>
      <c r="E520" s="2" t="s">
        <v>2137</v>
      </c>
      <c r="F520" s="2" t="s">
        <v>2138</v>
      </c>
      <c r="G520" s="2" t="s">
        <v>84</v>
      </c>
      <c r="H520" s="2" t="s">
        <v>85</v>
      </c>
      <c r="I520" s="2" t="s">
        <v>18</v>
      </c>
      <c r="J520" s="2" t="s">
        <v>25</v>
      </c>
      <c r="K520" s="2" t="str">
        <f>_xlfn.XLOOKUP(TRIM(Table1[[#This Row],[Membership]]),Sheet2!$A$2:$A$7,Sheet2!$B$2:$B$7,"Checkmanually")</f>
        <v>Silver</v>
      </c>
      <c r="L520" s="3">
        <v>45297</v>
      </c>
    </row>
    <row r="521" spans="1:12" x14ac:dyDescent="0.25">
      <c r="A521" s="2" t="s">
        <v>2139</v>
      </c>
      <c r="B521" s="2" t="s">
        <v>2140</v>
      </c>
      <c r="C521" s="2" t="s">
        <v>33</v>
      </c>
      <c r="D521" s="3">
        <v>33912</v>
      </c>
      <c r="E521" s="2" t="s">
        <v>2141</v>
      </c>
      <c r="F521" s="2" t="s">
        <v>2142</v>
      </c>
      <c r="G521" s="2" t="s">
        <v>63</v>
      </c>
      <c r="H521" s="2" t="s">
        <v>17</v>
      </c>
      <c r="I521" s="2" t="s">
        <v>18</v>
      </c>
      <c r="J521" s="2" t="s">
        <v>19</v>
      </c>
      <c r="K521" s="2" t="str">
        <f>_xlfn.XLOOKUP(TRIM(Table1[[#This Row],[Membership]]),Sheet2!$A$2:$A$7,Sheet2!$B$2:$B$7,"Checkmanually")</f>
        <v>Bronze</v>
      </c>
      <c r="L521" s="3">
        <v>45259</v>
      </c>
    </row>
    <row r="522" spans="1:12" x14ac:dyDescent="0.25">
      <c r="A522" s="2" t="s">
        <v>2143</v>
      </c>
      <c r="B522" s="2" t="s">
        <v>2144</v>
      </c>
      <c r="C522" s="2" t="s">
        <v>33</v>
      </c>
      <c r="D522" s="3">
        <v>27796</v>
      </c>
      <c r="E522" s="2" t="s">
        <v>2145</v>
      </c>
      <c r="F522" s="2" t="s">
        <v>2146</v>
      </c>
      <c r="G522" s="2" t="s">
        <v>54</v>
      </c>
      <c r="H522" s="2" t="s">
        <v>17</v>
      </c>
      <c r="I522" s="2" t="s">
        <v>18</v>
      </c>
      <c r="J522" s="2" t="s">
        <v>19</v>
      </c>
      <c r="K522" s="2" t="str">
        <f>_xlfn.XLOOKUP(TRIM(Table1[[#This Row],[Membership]]),Sheet2!$A$2:$A$7,Sheet2!$B$2:$B$7,"Checkmanually")</f>
        <v>Bronze</v>
      </c>
      <c r="L522" s="3">
        <v>44582</v>
      </c>
    </row>
    <row r="523" spans="1:12" x14ac:dyDescent="0.25">
      <c r="A523" s="2" t="s">
        <v>2147</v>
      </c>
      <c r="B523" s="2" t="s">
        <v>2148</v>
      </c>
      <c r="C523" s="2" t="s">
        <v>13</v>
      </c>
      <c r="D523" s="3">
        <v>35619</v>
      </c>
      <c r="E523" s="2" t="s">
        <v>2149</v>
      </c>
      <c r="F523" s="2" t="s">
        <v>2150</v>
      </c>
      <c r="G523" s="2" t="s">
        <v>16</v>
      </c>
      <c r="H523" s="2" t="s">
        <v>17</v>
      </c>
      <c r="I523" s="2" t="s">
        <v>18</v>
      </c>
      <c r="J523" s="2" t="s">
        <v>25</v>
      </c>
      <c r="K523" s="2" t="str">
        <f>_xlfn.XLOOKUP(TRIM(Table1[[#This Row],[Membership]]),Sheet2!$A$2:$A$7,Sheet2!$B$2:$B$7,"Checkmanually")</f>
        <v>Silver</v>
      </c>
      <c r="L523" s="3">
        <v>43648</v>
      </c>
    </row>
    <row r="524" spans="1:12" x14ac:dyDescent="0.25">
      <c r="A524" s="2" t="s">
        <v>2151</v>
      </c>
      <c r="B524" s="2" t="s">
        <v>2152</v>
      </c>
      <c r="C524" s="2" t="s">
        <v>13</v>
      </c>
      <c r="D524" s="3">
        <v>24656</v>
      </c>
      <c r="E524" s="2" t="s">
        <v>2153</v>
      </c>
      <c r="F524" s="2" t="s">
        <v>2154</v>
      </c>
      <c r="G524" s="2" t="s">
        <v>24</v>
      </c>
      <c r="H524" s="2" t="s">
        <v>17</v>
      </c>
      <c r="I524" s="2" t="s">
        <v>18</v>
      </c>
      <c r="J524" s="2" t="s">
        <v>25</v>
      </c>
      <c r="K524" s="2" t="str">
        <f>_xlfn.XLOOKUP(TRIM(Table1[[#This Row],[Membership]]),Sheet2!$A$2:$A$7,Sheet2!$B$2:$B$7,"Checkmanually")</f>
        <v>Silver</v>
      </c>
      <c r="L524" s="3">
        <v>44308</v>
      </c>
    </row>
    <row r="525" spans="1:12" x14ac:dyDescent="0.25">
      <c r="A525" s="2" t="s">
        <v>2155</v>
      </c>
      <c r="B525" s="2" t="s">
        <v>2156</v>
      </c>
      <c r="C525" s="2" t="s">
        <v>33</v>
      </c>
      <c r="D525" s="3">
        <v>33887</v>
      </c>
      <c r="E525" s="2" t="s">
        <v>2157</v>
      </c>
      <c r="F525" s="2" t="s">
        <v>2158</v>
      </c>
      <c r="G525" s="2" t="s">
        <v>84</v>
      </c>
      <c r="H525" s="2" t="s">
        <v>85</v>
      </c>
      <c r="I525" s="2" t="s">
        <v>18</v>
      </c>
      <c r="J525" s="2" t="s">
        <v>19</v>
      </c>
      <c r="K525" s="2" t="str">
        <f>_xlfn.XLOOKUP(TRIM(Table1[[#This Row],[Membership]]),Sheet2!$A$2:$A$7,Sheet2!$B$2:$B$7,"Checkmanually")</f>
        <v>Bronze</v>
      </c>
      <c r="L525" s="3">
        <v>44094</v>
      </c>
    </row>
    <row r="526" spans="1:12" x14ac:dyDescent="0.25">
      <c r="A526" s="2" t="s">
        <v>2159</v>
      </c>
      <c r="B526" s="2" t="s">
        <v>2160</v>
      </c>
      <c r="C526" s="2" t="s">
        <v>13</v>
      </c>
      <c r="D526" s="3">
        <v>23931</v>
      </c>
      <c r="E526" s="2" t="s">
        <v>2161</v>
      </c>
      <c r="F526" s="2" t="s">
        <v>2162</v>
      </c>
      <c r="G526" s="2" t="s">
        <v>16</v>
      </c>
      <c r="H526" s="2" t="s">
        <v>17</v>
      </c>
      <c r="I526" s="2" t="s">
        <v>18</v>
      </c>
      <c r="J526" s="2" t="s">
        <v>19</v>
      </c>
      <c r="K526" s="2" t="str">
        <f>_xlfn.XLOOKUP(TRIM(Table1[[#This Row],[Membership]]),Sheet2!$A$2:$A$7,Sheet2!$B$2:$B$7,"Checkmanually")</f>
        <v>Bronze</v>
      </c>
      <c r="L526" s="3">
        <v>45950</v>
      </c>
    </row>
    <row r="527" spans="1:12" x14ac:dyDescent="0.25">
      <c r="A527" s="2" t="s">
        <v>2163</v>
      </c>
      <c r="B527" s="2" t="s">
        <v>2164</v>
      </c>
      <c r="C527" s="2" t="s">
        <v>13</v>
      </c>
      <c r="D527" s="3">
        <v>34006</v>
      </c>
      <c r="E527" s="2" t="s">
        <v>2165</v>
      </c>
      <c r="F527" s="2" t="s">
        <v>2166</v>
      </c>
      <c r="G527" s="2" t="s">
        <v>16</v>
      </c>
      <c r="H527" s="2" t="s">
        <v>17</v>
      </c>
      <c r="I527" s="2"/>
      <c r="J527" s="2" t="s">
        <v>19</v>
      </c>
      <c r="K527" s="2" t="str">
        <f>_xlfn.XLOOKUP(TRIM(Table1[[#This Row],[Membership]]),Sheet2!$A$2:$A$7,Sheet2!$B$2:$B$7,"Checkmanually")</f>
        <v>Bronze</v>
      </c>
      <c r="L527" s="3">
        <v>44623</v>
      </c>
    </row>
    <row r="528" spans="1:12" x14ac:dyDescent="0.25">
      <c r="A528" s="2" t="s">
        <v>2167</v>
      </c>
      <c r="B528" s="2" t="s">
        <v>2168</v>
      </c>
      <c r="C528" s="2" t="s">
        <v>33</v>
      </c>
      <c r="D528" s="3">
        <v>25273</v>
      </c>
      <c r="E528" s="2" t="s">
        <v>2169</v>
      </c>
      <c r="F528" s="2" t="s">
        <v>2170</v>
      </c>
      <c r="G528" s="2" t="s">
        <v>121</v>
      </c>
      <c r="H528" s="2" t="s">
        <v>122</v>
      </c>
      <c r="I528" s="2" t="s">
        <v>18</v>
      </c>
      <c r="J528" s="2" t="s">
        <v>183</v>
      </c>
      <c r="K528" s="2" t="str">
        <f>_xlfn.XLOOKUP(TRIM(Table1[[#This Row],[Membership]]),Sheet2!$A$2:$A$7,Sheet2!$B$2:$B$7,"Checkmanually")</f>
        <v>Gold</v>
      </c>
      <c r="L528" s="3">
        <v>43224</v>
      </c>
    </row>
    <row r="529" spans="1:12" x14ac:dyDescent="0.25">
      <c r="A529" s="2" t="s">
        <v>2171</v>
      </c>
      <c r="B529" s="2" t="s">
        <v>2172</v>
      </c>
      <c r="C529" s="2" t="s">
        <v>13</v>
      </c>
      <c r="D529" s="3">
        <v>20498</v>
      </c>
      <c r="E529" s="2" t="s">
        <v>2173</v>
      </c>
      <c r="F529" s="2" t="s">
        <v>2174</v>
      </c>
      <c r="G529" s="2" t="s">
        <v>63</v>
      </c>
      <c r="H529" s="2" t="s">
        <v>17</v>
      </c>
      <c r="I529" s="2" t="s">
        <v>18</v>
      </c>
      <c r="J529" s="2" t="s">
        <v>25</v>
      </c>
      <c r="K529" s="2" t="str">
        <f>_xlfn.XLOOKUP(TRIM(Table1[[#This Row],[Membership]]),Sheet2!$A$2:$A$7,Sheet2!$B$2:$B$7,"Checkmanually")</f>
        <v>Silver</v>
      </c>
      <c r="L529" s="3">
        <v>45432</v>
      </c>
    </row>
    <row r="530" spans="1:12" x14ac:dyDescent="0.25">
      <c r="A530" s="2" t="s">
        <v>2175</v>
      </c>
      <c r="B530" s="2" t="s">
        <v>2176</v>
      </c>
      <c r="C530" s="2" t="s">
        <v>13</v>
      </c>
      <c r="D530" s="3">
        <v>35483</v>
      </c>
      <c r="E530" s="2" t="s">
        <v>2177</v>
      </c>
      <c r="F530" s="2" t="s">
        <v>2178</v>
      </c>
      <c r="G530" s="2" t="s">
        <v>228</v>
      </c>
      <c r="H530" s="2" t="s">
        <v>17</v>
      </c>
      <c r="I530" s="2" t="s">
        <v>18</v>
      </c>
      <c r="J530" s="2" t="s">
        <v>19</v>
      </c>
      <c r="K530" s="2" t="str">
        <f>_xlfn.XLOOKUP(TRIM(Table1[[#This Row],[Membership]]),Sheet2!$A$2:$A$7,Sheet2!$B$2:$B$7,"Checkmanually")</f>
        <v>Bronze</v>
      </c>
      <c r="L530" s="3">
        <v>43674</v>
      </c>
    </row>
    <row r="531" spans="1:12" x14ac:dyDescent="0.25">
      <c r="A531" s="2" t="s">
        <v>2179</v>
      </c>
      <c r="B531" s="2" t="s">
        <v>2180</v>
      </c>
      <c r="C531" s="2" t="s">
        <v>33</v>
      </c>
      <c r="D531" s="3">
        <v>31143</v>
      </c>
      <c r="E531" s="2" t="s">
        <v>2181</v>
      </c>
      <c r="F531" s="2" t="s">
        <v>2182</v>
      </c>
      <c r="G531" s="2" t="s">
        <v>30</v>
      </c>
      <c r="H531" s="2" t="s">
        <v>17</v>
      </c>
      <c r="I531" s="2" t="s">
        <v>18</v>
      </c>
      <c r="J531" s="2" t="s">
        <v>25</v>
      </c>
      <c r="K531" s="2" t="str">
        <f>_xlfn.XLOOKUP(TRIM(Table1[[#This Row],[Membership]]),Sheet2!$A$2:$A$7,Sheet2!$B$2:$B$7,"Checkmanually")</f>
        <v>Silver</v>
      </c>
      <c r="L531" s="3">
        <v>44919</v>
      </c>
    </row>
    <row r="532" spans="1:12" x14ac:dyDescent="0.25">
      <c r="A532" s="2" t="s">
        <v>2183</v>
      </c>
      <c r="B532" s="2" t="s">
        <v>2184</v>
      </c>
      <c r="C532" s="2" t="s">
        <v>13</v>
      </c>
      <c r="D532" s="3">
        <v>25198</v>
      </c>
      <c r="E532" s="2" t="s">
        <v>2185</v>
      </c>
      <c r="F532" s="2" t="s">
        <v>2186</v>
      </c>
      <c r="G532" s="2" t="s">
        <v>16</v>
      </c>
      <c r="H532" s="2" t="s">
        <v>17</v>
      </c>
      <c r="I532" s="2" t="s">
        <v>18</v>
      </c>
      <c r="J532" s="2" t="s">
        <v>25</v>
      </c>
      <c r="K532" s="2" t="str">
        <f>_xlfn.XLOOKUP(TRIM(Table1[[#This Row],[Membership]]),Sheet2!$A$2:$A$7,Sheet2!$B$2:$B$7,"Checkmanually")</f>
        <v>Silver</v>
      </c>
      <c r="L532" s="3">
        <v>43346</v>
      </c>
    </row>
    <row r="533" spans="1:12" x14ac:dyDescent="0.25">
      <c r="A533" s="2" t="s">
        <v>2187</v>
      </c>
      <c r="B533" s="2" t="s">
        <v>2188</v>
      </c>
      <c r="C533" s="2" t="s">
        <v>13</v>
      </c>
      <c r="D533" s="3">
        <v>20446</v>
      </c>
      <c r="E533" s="2" t="s">
        <v>2189</v>
      </c>
      <c r="F533" s="2" t="s">
        <v>2190</v>
      </c>
      <c r="G533" s="2" t="s">
        <v>228</v>
      </c>
      <c r="H533" s="2" t="s">
        <v>17</v>
      </c>
      <c r="I533" s="2" t="s">
        <v>18</v>
      </c>
      <c r="J533" s="2" t="s">
        <v>25</v>
      </c>
      <c r="K533" s="2" t="str">
        <f>_xlfn.XLOOKUP(TRIM(Table1[[#This Row],[Membership]]),Sheet2!$A$2:$A$7,Sheet2!$B$2:$B$7,"Checkmanually")</f>
        <v>Silver</v>
      </c>
      <c r="L533" s="3">
        <v>44724</v>
      </c>
    </row>
    <row r="534" spans="1:12" x14ac:dyDescent="0.25">
      <c r="A534" s="2" t="s">
        <v>2191</v>
      </c>
      <c r="B534" s="2" t="s">
        <v>2192</v>
      </c>
      <c r="C534" s="2" t="s">
        <v>33</v>
      </c>
      <c r="D534" s="3">
        <v>28545</v>
      </c>
      <c r="E534" s="2" t="s">
        <v>2193</v>
      </c>
      <c r="F534" s="2" t="s">
        <v>2194</v>
      </c>
      <c r="G534" s="2" t="s">
        <v>90</v>
      </c>
      <c r="H534" s="2" t="s">
        <v>91</v>
      </c>
      <c r="I534" s="2" t="s">
        <v>18</v>
      </c>
      <c r="J534" s="2" t="s">
        <v>19</v>
      </c>
      <c r="K534" s="2" t="str">
        <f>_xlfn.XLOOKUP(TRIM(Table1[[#This Row],[Membership]]),Sheet2!$A$2:$A$7,Sheet2!$B$2:$B$7,"Checkmanually")</f>
        <v>Bronze</v>
      </c>
      <c r="L534" s="3">
        <v>45444</v>
      </c>
    </row>
    <row r="535" spans="1:12" x14ac:dyDescent="0.25">
      <c r="A535" s="2" t="s">
        <v>2195</v>
      </c>
      <c r="B535" s="2" t="s">
        <v>2196</v>
      </c>
      <c r="C535" s="2" t="s">
        <v>13</v>
      </c>
      <c r="D535" s="3">
        <v>25228</v>
      </c>
      <c r="E535" s="2" t="s">
        <v>2197</v>
      </c>
      <c r="F535" s="2" t="s">
        <v>2198</v>
      </c>
      <c r="G535" s="2" t="s">
        <v>54</v>
      </c>
      <c r="H535" s="2" t="s">
        <v>17</v>
      </c>
      <c r="I535" s="2" t="s">
        <v>18</v>
      </c>
      <c r="J535" s="2" t="s">
        <v>25</v>
      </c>
      <c r="K535" s="2" t="str">
        <f>_xlfn.XLOOKUP(TRIM(Table1[[#This Row],[Membership]]),Sheet2!$A$2:$A$7,Sheet2!$B$2:$B$7,"Checkmanually")</f>
        <v>Silver</v>
      </c>
      <c r="L535" s="3">
        <v>44214</v>
      </c>
    </row>
    <row r="536" spans="1:12" x14ac:dyDescent="0.25">
      <c r="A536" s="2" t="s">
        <v>2199</v>
      </c>
      <c r="B536" s="2" t="s">
        <v>2200</v>
      </c>
      <c r="C536" s="2" t="s">
        <v>33</v>
      </c>
      <c r="D536" s="3">
        <v>33210</v>
      </c>
      <c r="E536" s="2" t="s">
        <v>2201</v>
      </c>
      <c r="F536" s="2" t="s">
        <v>2202</v>
      </c>
      <c r="G536" s="2" t="s">
        <v>228</v>
      </c>
      <c r="H536" s="2" t="s">
        <v>17</v>
      </c>
      <c r="I536" s="2" t="s">
        <v>18</v>
      </c>
      <c r="J536" s="2" t="s">
        <v>19</v>
      </c>
      <c r="K536" s="2" t="str">
        <f>_xlfn.XLOOKUP(TRIM(Table1[[#This Row],[Membership]]),Sheet2!$A$2:$A$7,Sheet2!$B$2:$B$7,"Checkmanually")</f>
        <v>Bronze</v>
      </c>
      <c r="L536" s="3">
        <v>45636</v>
      </c>
    </row>
    <row r="537" spans="1:12" x14ac:dyDescent="0.25">
      <c r="A537" s="2" t="s">
        <v>2203</v>
      </c>
      <c r="B537" s="2" t="s">
        <v>2204</v>
      </c>
      <c r="C537" s="2" t="s">
        <v>33</v>
      </c>
      <c r="D537" s="3">
        <v>38416</v>
      </c>
      <c r="E537" s="2" t="s">
        <v>2205</v>
      </c>
      <c r="F537" s="2" t="s">
        <v>2206</v>
      </c>
      <c r="G537" s="2" t="s">
        <v>228</v>
      </c>
      <c r="H537" s="2" t="s">
        <v>17</v>
      </c>
      <c r="I537" s="2" t="s">
        <v>18</v>
      </c>
      <c r="J537" s="2" t="s">
        <v>19</v>
      </c>
      <c r="K537" s="2" t="str">
        <f>_xlfn.XLOOKUP(TRIM(Table1[[#This Row],[Membership]]),Sheet2!$A$2:$A$7,Sheet2!$B$2:$B$7,"Checkmanually")</f>
        <v>Bronze</v>
      </c>
      <c r="L537" s="3">
        <v>45579</v>
      </c>
    </row>
    <row r="538" spans="1:12" x14ac:dyDescent="0.25">
      <c r="A538" s="2" t="s">
        <v>2207</v>
      </c>
      <c r="B538" s="2" t="s">
        <v>2208</v>
      </c>
      <c r="C538" s="2" t="s">
        <v>33</v>
      </c>
      <c r="D538" s="3">
        <v>33364</v>
      </c>
      <c r="E538" s="2" t="s">
        <v>2209</v>
      </c>
      <c r="F538" s="2" t="s">
        <v>2210</v>
      </c>
      <c r="G538" s="2" t="s">
        <v>90</v>
      </c>
      <c r="H538" s="2" t="s">
        <v>91</v>
      </c>
      <c r="I538" s="2" t="s">
        <v>18</v>
      </c>
      <c r="J538" s="2" t="s">
        <v>25</v>
      </c>
      <c r="K538" s="2" t="str">
        <f>_xlfn.XLOOKUP(TRIM(Table1[[#This Row],[Membership]]),Sheet2!$A$2:$A$7,Sheet2!$B$2:$B$7,"Checkmanually")</f>
        <v>Silver</v>
      </c>
      <c r="L538" s="3">
        <v>44659</v>
      </c>
    </row>
    <row r="539" spans="1:12" x14ac:dyDescent="0.25">
      <c r="A539" s="2" t="s">
        <v>2211</v>
      </c>
      <c r="B539" s="2" t="s">
        <v>2212</v>
      </c>
      <c r="C539" s="2" t="s">
        <v>13</v>
      </c>
      <c r="D539" s="3">
        <v>26470</v>
      </c>
      <c r="E539" s="2" t="s">
        <v>2213</v>
      </c>
      <c r="F539" s="2" t="s">
        <v>2214</v>
      </c>
      <c r="G539" s="2" t="s">
        <v>24</v>
      </c>
      <c r="H539" s="2" t="s">
        <v>17</v>
      </c>
      <c r="I539" s="2" t="s">
        <v>18</v>
      </c>
      <c r="J539" s="2" t="s">
        <v>19</v>
      </c>
      <c r="K539" s="2" t="str">
        <f>_xlfn.XLOOKUP(TRIM(Table1[[#This Row],[Membership]]),Sheet2!$A$2:$A$7,Sheet2!$B$2:$B$7,"Checkmanually")</f>
        <v>Bronze</v>
      </c>
      <c r="L539" s="3">
        <v>44206</v>
      </c>
    </row>
    <row r="540" spans="1:12" x14ac:dyDescent="0.25">
      <c r="A540" s="2" t="s">
        <v>2215</v>
      </c>
      <c r="B540" s="2" t="s">
        <v>2216</v>
      </c>
      <c r="C540" s="2" t="s">
        <v>33</v>
      </c>
      <c r="D540" s="3">
        <v>31082</v>
      </c>
      <c r="E540" s="2" t="s">
        <v>2217</v>
      </c>
      <c r="F540" s="2" t="s">
        <v>2218</v>
      </c>
      <c r="G540" s="2" t="s">
        <v>24</v>
      </c>
      <c r="H540" s="2" t="s">
        <v>17</v>
      </c>
      <c r="I540" s="2" t="s">
        <v>18</v>
      </c>
      <c r="J540" s="2" t="s">
        <v>19</v>
      </c>
      <c r="K540" s="2" t="str">
        <f>_xlfn.XLOOKUP(TRIM(Table1[[#This Row],[Membership]]),Sheet2!$A$2:$A$7,Sheet2!$B$2:$B$7,"Checkmanually")</f>
        <v>Bronze</v>
      </c>
      <c r="L540" s="3">
        <v>43215</v>
      </c>
    </row>
    <row r="541" spans="1:12" x14ac:dyDescent="0.25">
      <c r="A541" s="2" t="s">
        <v>2219</v>
      </c>
      <c r="B541" s="2" t="s">
        <v>2220</v>
      </c>
      <c r="C541" s="2" t="s">
        <v>13</v>
      </c>
      <c r="D541" s="3">
        <v>27033</v>
      </c>
      <c r="E541" s="2" t="s">
        <v>2221</v>
      </c>
      <c r="F541" s="2" t="s">
        <v>2222</v>
      </c>
      <c r="G541" s="2" t="s">
        <v>84</v>
      </c>
      <c r="H541" s="2" t="s">
        <v>85</v>
      </c>
      <c r="I541" s="2" t="s">
        <v>18</v>
      </c>
      <c r="J541" s="2" t="s">
        <v>183</v>
      </c>
      <c r="K541" s="2" t="str">
        <f>_xlfn.XLOOKUP(TRIM(Table1[[#This Row],[Membership]]),Sheet2!$A$2:$A$7,Sheet2!$B$2:$B$7,"Checkmanually")</f>
        <v>Gold</v>
      </c>
      <c r="L541" s="3">
        <v>45546</v>
      </c>
    </row>
    <row r="542" spans="1:12" x14ac:dyDescent="0.25">
      <c r="A542" s="2" t="s">
        <v>2223</v>
      </c>
      <c r="B542" s="2" t="s">
        <v>2224</v>
      </c>
      <c r="C542" s="2" t="s">
        <v>13</v>
      </c>
      <c r="D542" s="3">
        <v>26700</v>
      </c>
      <c r="E542" s="2" t="s">
        <v>2225</v>
      </c>
      <c r="F542" s="2" t="s">
        <v>2226</v>
      </c>
      <c r="G542" s="2" t="s">
        <v>30</v>
      </c>
      <c r="H542" s="2" t="s">
        <v>17</v>
      </c>
      <c r="I542" s="2" t="s">
        <v>18</v>
      </c>
      <c r="J542" s="2" t="s">
        <v>183</v>
      </c>
      <c r="K542" s="2" t="str">
        <f>_xlfn.XLOOKUP(TRIM(Table1[[#This Row],[Membership]]),Sheet2!$A$2:$A$7,Sheet2!$B$2:$B$7,"Checkmanually")</f>
        <v>Gold</v>
      </c>
      <c r="L542" s="3">
        <v>45715</v>
      </c>
    </row>
    <row r="543" spans="1:12" x14ac:dyDescent="0.25">
      <c r="A543" s="2" t="s">
        <v>2227</v>
      </c>
      <c r="B543" s="2" t="s">
        <v>2228</v>
      </c>
      <c r="C543" s="2" t="s">
        <v>13</v>
      </c>
      <c r="D543" s="3">
        <v>38597</v>
      </c>
      <c r="E543" s="2" t="s">
        <v>2229</v>
      </c>
      <c r="F543" s="2" t="s">
        <v>2230</v>
      </c>
      <c r="G543" s="2" t="s">
        <v>63</v>
      </c>
      <c r="H543" s="2" t="s">
        <v>17</v>
      </c>
      <c r="I543" s="2" t="s">
        <v>18</v>
      </c>
      <c r="J543" s="2" t="s">
        <v>19</v>
      </c>
      <c r="K543" s="2" t="str">
        <f>_xlfn.XLOOKUP(TRIM(Table1[[#This Row],[Membership]]),Sheet2!$A$2:$A$7,Sheet2!$B$2:$B$7,"Checkmanually")</f>
        <v>Bronze</v>
      </c>
      <c r="L543" s="3">
        <v>43284</v>
      </c>
    </row>
    <row r="544" spans="1:12" x14ac:dyDescent="0.25">
      <c r="A544" s="2" t="s">
        <v>2231</v>
      </c>
      <c r="B544" s="2" t="s">
        <v>2232</v>
      </c>
      <c r="C544" s="2" t="s">
        <v>33</v>
      </c>
      <c r="D544" s="3">
        <v>23144</v>
      </c>
      <c r="E544" s="2" t="s">
        <v>2233</v>
      </c>
      <c r="F544" s="2" t="s">
        <v>2234</v>
      </c>
      <c r="G544" s="2" t="s">
        <v>193</v>
      </c>
      <c r="H544" s="2" t="s">
        <v>193</v>
      </c>
      <c r="I544" s="2" t="s">
        <v>49</v>
      </c>
      <c r="J544" s="2" t="s">
        <v>183</v>
      </c>
      <c r="K544" s="2" t="str">
        <f>_xlfn.XLOOKUP(TRIM(Table1[[#This Row],[Membership]]),Sheet2!$A$2:$A$7,Sheet2!$B$2:$B$7,"Checkmanually")</f>
        <v>Gold</v>
      </c>
      <c r="L544" s="3">
        <v>44365</v>
      </c>
    </row>
    <row r="545" spans="1:12" x14ac:dyDescent="0.25">
      <c r="A545" s="2" t="s">
        <v>2235</v>
      </c>
      <c r="B545" s="2" t="s">
        <v>2236</v>
      </c>
      <c r="C545" s="2" t="s">
        <v>13</v>
      </c>
      <c r="D545" s="3">
        <v>30394</v>
      </c>
      <c r="E545" s="2" t="s">
        <v>2237</v>
      </c>
      <c r="F545" s="2" t="s">
        <v>2238</v>
      </c>
      <c r="G545" s="2" t="s">
        <v>509</v>
      </c>
      <c r="H545" s="2" t="s">
        <v>510</v>
      </c>
      <c r="I545" s="2" t="s">
        <v>49</v>
      </c>
      <c r="J545" s="2" t="s">
        <v>25</v>
      </c>
      <c r="K545" s="2" t="str">
        <f>_xlfn.XLOOKUP(TRIM(Table1[[#This Row],[Membership]]),Sheet2!$A$2:$A$7,Sheet2!$B$2:$B$7,"Checkmanually")</f>
        <v>Silver</v>
      </c>
      <c r="L545" s="3">
        <v>44701</v>
      </c>
    </row>
    <row r="546" spans="1:12" x14ac:dyDescent="0.25">
      <c r="A546" s="2" t="s">
        <v>2239</v>
      </c>
      <c r="B546" s="2" t="s">
        <v>2240</v>
      </c>
      <c r="C546" s="2" t="s">
        <v>33</v>
      </c>
      <c r="D546" s="3">
        <v>23280</v>
      </c>
      <c r="E546" s="2" t="s">
        <v>2241</v>
      </c>
      <c r="F546" s="2" t="s">
        <v>2242</v>
      </c>
      <c r="G546" s="2" t="s">
        <v>228</v>
      </c>
      <c r="H546" s="2" t="s">
        <v>17</v>
      </c>
      <c r="I546" s="2" t="s">
        <v>18</v>
      </c>
      <c r="J546" s="2" t="s">
        <v>19</v>
      </c>
      <c r="K546" s="2" t="str">
        <f>_xlfn.XLOOKUP(TRIM(Table1[[#This Row],[Membership]]),Sheet2!$A$2:$A$7,Sheet2!$B$2:$B$7,"Checkmanually")</f>
        <v>Bronze</v>
      </c>
      <c r="L546" s="3">
        <v>44458</v>
      </c>
    </row>
    <row r="547" spans="1:12" x14ac:dyDescent="0.25">
      <c r="A547" s="2" t="s">
        <v>2243</v>
      </c>
      <c r="B547" s="2" t="s">
        <v>2244</v>
      </c>
      <c r="C547" s="2" t="s">
        <v>33</v>
      </c>
      <c r="D547" s="3">
        <v>25011</v>
      </c>
      <c r="E547" s="2" t="s">
        <v>2245</v>
      </c>
      <c r="F547" s="2" t="s">
        <v>2246</v>
      </c>
      <c r="G547" s="2" t="s">
        <v>104</v>
      </c>
      <c r="H547" s="2" t="s">
        <v>105</v>
      </c>
      <c r="I547" s="2" t="s">
        <v>42</v>
      </c>
      <c r="J547" s="2" t="s">
        <v>25</v>
      </c>
      <c r="K547" s="2" t="str">
        <f>_xlfn.XLOOKUP(TRIM(Table1[[#This Row],[Membership]]),Sheet2!$A$2:$A$7,Sheet2!$B$2:$B$7,"Checkmanually")</f>
        <v>Silver</v>
      </c>
      <c r="L547" s="3">
        <v>43198</v>
      </c>
    </row>
    <row r="548" spans="1:12" x14ac:dyDescent="0.25">
      <c r="A548" s="2" t="s">
        <v>2247</v>
      </c>
      <c r="B548" s="2" t="s">
        <v>2248</v>
      </c>
      <c r="C548" s="2" t="s">
        <v>33</v>
      </c>
      <c r="D548" s="3">
        <v>21315</v>
      </c>
      <c r="E548" s="2" t="s">
        <v>2249</v>
      </c>
      <c r="F548" s="2" t="s">
        <v>2250</v>
      </c>
      <c r="G548" s="2" t="s">
        <v>90</v>
      </c>
      <c r="H548" s="2" t="s">
        <v>91</v>
      </c>
      <c r="I548" s="2" t="s">
        <v>18</v>
      </c>
      <c r="J548" s="2" t="s">
        <v>19</v>
      </c>
      <c r="K548" s="2" t="str">
        <f>_xlfn.XLOOKUP(TRIM(Table1[[#This Row],[Membership]]),Sheet2!$A$2:$A$7,Sheet2!$B$2:$B$7,"Checkmanually")</f>
        <v>Bronze</v>
      </c>
      <c r="L548" s="3">
        <v>44289</v>
      </c>
    </row>
    <row r="549" spans="1:12" x14ac:dyDescent="0.25">
      <c r="A549" s="2" t="s">
        <v>2251</v>
      </c>
      <c r="B549" s="2" t="s">
        <v>2252</v>
      </c>
      <c r="C549" s="2" t="s">
        <v>13</v>
      </c>
      <c r="D549" s="3">
        <v>23146</v>
      </c>
      <c r="E549" s="2" t="s">
        <v>2253</v>
      </c>
      <c r="F549" s="2" t="s">
        <v>2254</v>
      </c>
      <c r="G549" s="2" t="s">
        <v>90</v>
      </c>
      <c r="H549" s="2" t="s">
        <v>91</v>
      </c>
      <c r="I549" s="2" t="s">
        <v>18</v>
      </c>
      <c r="J549" s="2" t="s">
        <v>183</v>
      </c>
      <c r="K549" s="2" t="str">
        <f>_xlfn.XLOOKUP(TRIM(Table1[[#This Row],[Membership]]),Sheet2!$A$2:$A$7,Sheet2!$B$2:$B$7,"Checkmanually")</f>
        <v>Gold</v>
      </c>
      <c r="L549" s="3">
        <v>46043</v>
      </c>
    </row>
    <row r="550" spans="1:12" x14ac:dyDescent="0.25">
      <c r="A550" s="2" t="s">
        <v>2255</v>
      </c>
      <c r="B550" s="2" t="s">
        <v>2256</v>
      </c>
      <c r="C550" s="2" t="s">
        <v>33</v>
      </c>
      <c r="D550" s="3">
        <v>25367</v>
      </c>
      <c r="E550" s="2" t="s">
        <v>2257</v>
      </c>
      <c r="F550" s="2" t="s">
        <v>2258</v>
      </c>
      <c r="G550" s="2" t="s">
        <v>115</v>
      </c>
      <c r="H550" s="2" t="s">
        <v>116</v>
      </c>
      <c r="I550" s="2" t="s">
        <v>42</v>
      </c>
      <c r="J550" s="2" t="s">
        <v>19</v>
      </c>
      <c r="K550" s="2" t="str">
        <f>_xlfn.XLOOKUP(TRIM(Table1[[#This Row],[Membership]]),Sheet2!$A$2:$A$7,Sheet2!$B$2:$B$7,"Checkmanually")</f>
        <v>Bronze</v>
      </c>
      <c r="L550" s="3">
        <v>45155</v>
      </c>
    </row>
    <row r="551" spans="1:12" x14ac:dyDescent="0.25">
      <c r="A551" s="2" t="s">
        <v>2259</v>
      </c>
      <c r="B551" s="2" t="s">
        <v>2260</v>
      </c>
      <c r="C551" s="2" t="s">
        <v>33</v>
      </c>
      <c r="D551" s="3">
        <v>24389</v>
      </c>
      <c r="E551" s="2" t="s">
        <v>2261</v>
      </c>
      <c r="F551" s="2" t="s">
        <v>2262</v>
      </c>
      <c r="G551" s="2" t="s">
        <v>1965</v>
      </c>
      <c r="H551" s="2" t="s">
        <v>1966</v>
      </c>
      <c r="I551" s="2" t="s">
        <v>42</v>
      </c>
      <c r="J551" s="2" t="s">
        <v>25</v>
      </c>
      <c r="K551" s="2" t="str">
        <f>_xlfn.XLOOKUP(TRIM(Table1[[#This Row],[Membership]]),Sheet2!$A$2:$A$7,Sheet2!$B$2:$B$7,"Checkmanually")</f>
        <v>Silver</v>
      </c>
      <c r="L551" s="3">
        <v>44489</v>
      </c>
    </row>
    <row r="552" spans="1:12" x14ac:dyDescent="0.25">
      <c r="A552" s="2" t="s">
        <v>2263</v>
      </c>
      <c r="B552" s="2" t="s">
        <v>2264</v>
      </c>
      <c r="C552" s="2" t="s">
        <v>33</v>
      </c>
      <c r="D552" s="3">
        <v>32791</v>
      </c>
      <c r="E552" s="2" t="s">
        <v>2265</v>
      </c>
      <c r="F552" s="2" t="s">
        <v>2266</v>
      </c>
      <c r="G552" s="2" t="s">
        <v>131</v>
      </c>
      <c r="H552" s="2" t="s">
        <v>91</v>
      </c>
      <c r="I552" s="2" t="s">
        <v>18</v>
      </c>
      <c r="J552" s="2" t="s">
        <v>183</v>
      </c>
      <c r="K552" s="2" t="str">
        <f>_xlfn.XLOOKUP(TRIM(Table1[[#This Row],[Membership]]),Sheet2!$A$2:$A$7,Sheet2!$B$2:$B$7,"Checkmanually")</f>
        <v>Gold</v>
      </c>
      <c r="L552" s="3">
        <v>44080</v>
      </c>
    </row>
    <row r="553" spans="1:12" x14ac:dyDescent="0.25">
      <c r="A553" s="2" t="s">
        <v>2267</v>
      </c>
      <c r="B553" s="2" t="s">
        <v>2268</v>
      </c>
      <c r="C553" s="2" t="s">
        <v>13</v>
      </c>
      <c r="D553" s="3">
        <v>38666</v>
      </c>
      <c r="E553" s="2" t="s">
        <v>2269</v>
      </c>
      <c r="F553" s="2" t="s">
        <v>2270</v>
      </c>
      <c r="G553" s="2" t="s">
        <v>104</v>
      </c>
      <c r="H553" s="2" t="s">
        <v>105</v>
      </c>
      <c r="I553" s="2" t="s">
        <v>42</v>
      </c>
      <c r="J553" s="2" t="s">
        <v>19</v>
      </c>
      <c r="K553" s="2" t="str">
        <f>_xlfn.XLOOKUP(TRIM(Table1[[#This Row],[Membership]]),Sheet2!$A$2:$A$7,Sheet2!$B$2:$B$7,"Checkmanually")</f>
        <v>Bronze</v>
      </c>
      <c r="L553" s="3">
        <v>45672</v>
      </c>
    </row>
    <row r="554" spans="1:12" x14ac:dyDescent="0.25">
      <c r="A554" s="2" t="s">
        <v>2271</v>
      </c>
      <c r="B554" s="2" t="s">
        <v>2272</v>
      </c>
      <c r="C554" s="2" t="s">
        <v>33</v>
      </c>
      <c r="D554" s="3">
        <v>30233</v>
      </c>
      <c r="E554" s="2" t="s">
        <v>2273</v>
      </c>
      <c r="F554" s="2" t="s">
        <v>2274</v>
      </c>
      <c r="G554" s="2" t="s">
        <v>16</v>
      </c>
      <c r="H554" s="2" t="s">
        <v>17</v>
      </c>
      <c r="I554" s="2" t="s">
        <v>18</v>
      </c>
      <c r="J554" s="2" t="s">
        <v>183</v>
      </c>
      <c r="K554" s="2" t="str">
        <f>_xlfn.XLOOKUP(TRIM(Table1[[#This Row],[Membership]]),Sheet2!$A$2:$A$7,Sheet2!$B$2:$B$7,"Checkmanually")</f>
        <v>Gold</v>
      </c>
      <c r="L554" s="3">
        <v>45342</v>
      </c>
    </row>
    <row r="555" spans="1:12" x14ac:dyDescent="0.25">
      <c r="A555" s="2" t="s">
        <v>2275</v>
      </c>
      <c r="B555" s="2" t="s">
        <v>2276</v>
      </c>
      <c r="C555" s="2" t="s">
        <v>13</v>
      </c>
      <c r="D555" s="3">
        <v>34993</v>
      </c>
      <c r="E555" s="2" t="s">
        <v>2277</v>
      </c>
      <c r="F555" s="2" t="s">
        <v>2278</v>
      </c>
      <c r="G555" s="2" t="s">
        <v>63</v>
      </c>
      <c r="H555" s="2" t="s">
        <v>17</v>
      </c>
      <c r="I555" s="2" t="s">
        <v>18</v>
      </c>
      <c r="J555" s="2" t="s">
        <v>25</v>
      </c>
      <c r="K555" s="2" t="str">
        <f>_xlfn.XLOOKUP(TRIM(Table1[[#This Row],[Membership]]),Sheet2!$A$2:$A$7,Sheet2!$B$2:$B$7,"Checkmanually")</f>
        <v>Silver</v>
      </c>
      <c r="L555" s="3">
        <v>44385</v>
      </c>
    </row>
    <row r="556" spans="1:12" x14ac:dyDescent="0.25">
      <c r="A556" s="2" t="s">
        <v>2279</v>
      </c>
      <c r="B556" s="2" t="s">
        <v>2280</v>
      </c>
      <c r="C556" s="2" t="s">
        <v>13</v>
      </c>
      <c r="D556" s="3">
        <v>31995</v>
      </c>
      <c r="E556" s="2" t="s">
        <v>2281</v>
      </c>
      <c r="F556" s="2" t="s">
        <v>2282</v>
      </c>
      <c r="G556" s="2" t="s">
        <v>387</v>
      </c>
      <c r="H556" s="2" t="s">
        <v>388</v>
      </c>
      <c r="I556" s="2" t="s">
        <v>146</v>
      </c>
      <c r="J556" s="2" t="s">
        <v>25</v>
      </c>
      <c r="K556" s="2" t="str">
        <f>_xlfn.XLOOKUP(TRIM(Table1[[#This Row],[Membership]]),Sheet2!$A$2:$A$7,Sheet2!$B$2:$B$7,"Checkmanually")</f>
        <v>Silver</v>
      </c>
      <c r="L556" s="3">
        <v>44548</v>
      </c>
    </row>
    <row r="557" spans="1:12" x14ac:dyDescent="0.25">
      <c r="A557" s="2" t="s">
        <v>2283</v>
      </c>
      <c r="B557" s="2" t="s">
        <v>2284</v>
      </c>
      <c r="C557" s="2" t="s">
        <v>13</v>
      </c>
      <c r="D557" s="3">
        <v>35597</v>
      </c>
      <c r="E557" s="2" t="s">
        <v>2285</v>
      </c>
      <c r="F557" s="2" t="s">
        <v>2286</v>
      </c>
      <c r="G557" s="2" t="s">
        <v>90</v>
      </c>
      <c r="H557" s="2" t="s">
        <v>91</v>
      </c>
      <c r="I557" s="2" t="s">
        <v>18</v>
      </c>
      <c r="J557" s="2" t="s">
        <v>25</v>
      </c>
      <c r="K557" s="2" t="str">
        <f>_xlfn.XLOOKUP(TRIM(Table1[[#This Row],[Membership]]),Sheet2!$A$2:$A$7,Sheet2!$B$2:$B$7,"Checkmanually")</f>
        <v>Silver</v>
      </c>
      <c r="L557" s="3">
        <v>44149</v>
      </c>
    </row>
    <row r="558" spans="1:12" x14ac:dyDescent="0.25">
      <c r="A558" s="2" t="s">
        <v>2287</v>
      </c>
      <c r="B558" s="2" t="s">
        <v>2288</v>
      </c>
      <c r="C558" s="2" t="s">
        <v>33</v>
      </c>
      <c r="D558" s="3">
        <v>38726</v>
      </c>
      <c r="E558" s="2" t="s">
        <v>2289</v>
      </c>
      <c r="F558" s="2" t="s">
        <v>2290</v>
      </c>
      <c r="G558" s="2" t="s">
        <v>115</v>
      </c>
      <c r="H558" s="2" t="s">
        <v>116</v>
      </c>
      <c r="I558" s="2" t="s">
        <v>42</v>
      </c>
      <c r="J558" s="2" t="s">
        <v>19</v>
      </c>
      <c r="K558" s="2" t="str">
        <f>_xlfn.XLOOKUP(TRIM(Table1[[#This Row],[Membership]]),Sheet2!$A$2:$A$7,Sheet2!$B$2:$B$7,"Checkmanually")</f>
        <v>Bronze</v>
      </c>
      <c r="L558" s="3">
        <v>45100</v>
      </c>
    </row>
    <row r="559" spans="1:12" x14ac:dyDescent="0.25">
      <c r="A559" s="2" t="s">
        <v>2291</v>
      </c>
      <c r="B559" s="2" t="s">
        <v>2292</v>
      </c>
      <c r="C559" s="2" t="s">
        <v>13</v>
      </c>
      <c r="D559" s="3">
        <v>24316</v>
      </c>
      <c r="E559" s="2" t="s">
        <v>2293</v>
      </c>
      <c r="F559" s="2" t="s">
        <v>2294</v>
      </c>
      <c r="G559" s="2" t="s">
        <v>30</v>
      </c>
      <c r="H559" s="2" t="s">
        <v>17</v>
      </c>
      <c r="I559" s="2" t="s">
        <v>18</v>
      </c>
      <c r="J559" s="2" t="s">
        <v>25</v>
      </c>
      <c r="K559" s="2" t="str">
        <f>_xlfn.XLOOKUP(TRIM(Table1[[#This Row],[Membership]]),Sheet2!$A$2:$A$7,Sheet2!$B$2:$B$7,"Checkmanually")</f>
        <v>Silver</v>
      </c>
      <c r="L559" s="3">
        <v>44906</v>
      </c>
    </row>
    <row r="560" spans="1:12" x14ac:dyDescent="0.25">
      <c r="A560" s="2" t="s">
        <v>2295</v>
      </c>
      <c r="B560" s="2" t="s">
        <v>2296</v>
      </c>
      <c r="C560" s="2" t="s">
        <v>33</v>
      </c>
      <c r="D560" s="3">
        <v>32334</v>
      </c>
      <c r="E560" s="2" t="s">
        <v>2297</v>
      </c>
      <c r="F560" s="2" t="s">
        <v>2298</v>
      </c>
      <c r="G560" s="2" t="s">
        <v>121</v>
      </c>
      <c r="H560" s="2" t="s">
        <v>122</v>
      </c>
      <c r="I560" s="2" t="s">
        <v>18</v>
      </c>
      <c r="J560" s="2" t="s">
        <v>19</v>
      </c>
      <c r="K560" s="2" t="str">
        <f>_xlfn.XLOOKUP(TRIM(Table1[[#This Row],[Membership]]),Sheet2!$A$2:$A$7,Sheet2!$B$2:$B$7,"Checkmanually")</f>
        <v>Bronze</v>
      </c>
      <c r="L560" s="3">
        <v>43442</v>
      </c>
    </row>
    <row r="561" spans="1:12" x14ac:dyDescent="0.25">
      <c r="A561" s="2" t="s">
        <v>2299</v>
      </c>
      <c r="B561" s="2" t="s">
        <v>2300</v>
      </c>
      <c r="C561" s="2" t="s">
        <v>33</v>
      </c>
      <c r="D561" s="3">
        <v>21488</v>
      </c>
      <c r="E561" s="2" t="s">
        <v>2301</v>
      </c>
      <c r="F561" s="2" t="s">
        <v>2302</v>
      </c>
      <c r="G561" s="2" t="s">
        <v>90</v>
      </c>
      <c r="H561" s="2" t="s">
        <v>91</v>
      </c>
      <c r="I561" s="2" t="s">
        <v>18</v>
      </c>
      <c r="J561" s="2" t="s">
        <v>25</v>
      </c>
      <c r="K561" s="2" t="str">
        <f>_xlfn.XLOOKUP(TRIM(Table1[[#This Row],[Membership]]),Sheet2!$A$2:$A$7,Sheet2!$B$2:$B$7,"Checkmanually")</f>
        <v>Silver</v>
      </c>
      <c r="L561" s="3">
        <v>45643</v>
      </c>
    </row>
    <row r="562" spans="1:12" x14ac:dyDescent="0.25">
      <c r="A562" s="2" t="s">
        <v>2303</v>
      </c>
      <c r="B562" s="2" t="s">
        <v>2304</v>
      </c>
      <c r="C562" s="2" t="s">
        <v>13</v>
      </c>
      <c r="D562" s="3">
        <v>38466</v>
      </c>
      <c r="E562" s="2" t="s">
        <v>2305</v>
      </c>
      <c r="F562" s="2" t="s">
        <v>2306</v>
      </c>
      <c r="G562" s="2" t="s">
        <v>54</v>
      </c>
      <c r="H562" s="2" t="s">
        <v>17</v>
      </c>
      <c r="I562" s="2" t="s">
        <v>18</v>
      </c>
      <c r="J562" s="2" t="s">
        <v>19</v>
      </c>
      <c r="K562" s="2" t="str">
        <f>_xlfn.XLOOKUP(TRIM(Table1[[#This Row],[Membership]]),Sheet2!$A$2:$A$7,Sheet2!$B$2:$B$7,"Checkmanually")</f>
        <v>Bronze</v>
      </c>
      <c r="L562" s="3">
        <v>43133</v>
      </c>
    </row>
    <row r="563" spans="1:12" x14ac:dyDescent="0.25">
      <c r="A563" s="2" t="s">
        <v>2307</v>
      </c>
      <c r="B563" s="2" t="s">
        <v>2308</v>
      </c>
      <c r="C563" s="2" t="s">
        <v>33</v>
      </c>
      <c r="D563" s="3">
        <v>33173</v>
      </c>
      <c r="E563" s="2" t="s">
        <v>2309</v>
      </c>
      <c r="F563" s="2" t="s">
        <v>2310</v>
      </c>
      <c r="G563" s="2" t="s">
        <v>509</v>
      </c>
      <c r="H563" s="2" t="s">
        <v>510</v>
      </c>
      <c r="I563" s="2" t="s">
        <v>49</v>
      </c>
      <c r="J563" s="2" t="s">
        <v>183</v>
      </c>
      <c r="K563" s="2" t="str">
        <f>_xlfn.XLOOKUP(TRIM(Table1[[#This Row],[Membership]]),Sheet2!$A$2:$A$7,Sheet2!$B$2:$B$7,"Checkmanually")</f>
        <v>Gold</v>
      </c>
      <c r="L563" s="3">
        <v>43399</v>
      </c>
    </row>
    <row r="564" spans="1:12" x14ac:dyDescent="0.25">
      <c r="A564" s="2" t="s">
        <v>2311</v>
      </c>
      <c r="B564" s="2" t="s">
        <v>2312</v>
      </c>
      <c r="C564" s="2" t="s">
        <v>13</v>
      </c>
      <c r="D564" s="3">
        <v>31523</v>
      </c>
      <c r="E564" s="2" t="s">
        <v>2313</v>
      </c>
      <c r="F564" s="2" t="s">
        <v>2314</v>
      </c>
      <c r="G564" s="2" t="s">
        <v>90</v>
      </c>
      <c r="H564" s="2" t="s">
        <v>91</v>
      </c>
      <c r="I564" s="2" t="s">
        <v>18</v>
      </c>
      <c r="J564" s="2" t="s">
        <v>19</v>
      </c>
      <c r="K564" s="2" t="str">
        <f>_xlfn.XLOOKUP(TRIM(Table1[[#This Row],[Membership]]),Sheet2!$A$2:$A$7,Sheet2!$B$2:$B$7,"Checkmanually")</f>
        <v>Bronze</v>
      </c>
      <c r="L564" s="3">
        <v>45009</v>
      </c>
    </row>
    <row r="565" spans="1:12" x14ac:dyDescent="0.25">
      <c r="A565" s="2" t="s">
        <v>2315</v>
      </c>
      <c r="B565" s="2" t="s">
        <v>2316</v>
      </c>
      <c r="C565" s="2" t="s">
        <v>33</v>
      </c>
      <c r="D565" s="3">
        <v>25997</v>
      </c>
      <c r="E565" s="2" t="s">
        <v>2317</v>
      </c>
      <c r="F565" s="2" t="s">
        <v>2318</v>
      </c>
      <c r="G565" s="2" t="s">
        <v>90</v>
      </c>
      <c r="H565" s="2" t="s">
        <v>91</v>
      </c>
      <c r="I565" s="2" t="s">
        <v>18</v>
      </c>
      <c r="J565" s="2" t="s">
        <v>183</v>
      </c>
      <c r="K565" s="2" t="str">
        <f>_xlfn.XLOOKUP(TRIM(Table1[[#This Row],[Membership]]),Sheet2!$A$2:$A$7,Sheet2!$B$2:$B$7,"Checkmanually")</f>
        <v>Gold</v>
      </c>
      <c r="L565" s="3">
        <v>43544</v>
      </c>
    </row>
    <row r="566" spans="1:12" x14ac:dyDescent="0.25">
      <c r="A566" s="2" t="s">
        <v>2319</v>
      </c>
      <c r="B566" s="2" t="s">
        <v>2320</v>
      </c>
      <c r="C566" s="2" t="s">
        <v>33</v>
      </c>
      <c r="D566" s="3">
        <v>22202</v>
      </c>
      <c r="E566" s="2" t="s">
        <v>2321</v>
      </c>
      <c r="F566" s="2" t="s">
        <v>2322</v>
      </c>
      <c r="G566" s="2" t="s">
        <v>54</v>
      </c>
      <c r="H566" s="2" t="s">
        <v>17</v>
      </c>
      <c r="I566" s="2" t="s">
        <v>18</v>
      </c>
      <c r="J566" s="2" t="s">
        <v>25</v>
      </c>
      <c r="K566" s="2" t="str">
        <f>_xlfn.XLOOKUP(TRIM(Table1[[#This Row],[Membership]]),Sheet2!$A$2:$A$7,Sheet2!$B$2:$B$7,"Checkmanually")</f>
        <v>Silver</v>
      </c>
      <c r="L566" s="3">
        <v>44400</v>
      </c>
    </row>
    <row r="567" spans="1:12" x14ac:dyDescent="0.25">
      <c r="A567" s="2" t="s">
        <v>2323</v>
      </c>
      <c r="B567" s="2" t="s">
        <v>2324</v>
      </c>
      <c r="C567" s="2" t="s">
        <v>33</v>
      </c>
      <c r="D567" s="3">
        <v>35694</v>
      </c>
      <c r="E567" s="2" t="s">
        <v>2325</v>
      </c>
      <c r="F567" s="2" t="s">
        <v>2326</v>
      </c>
      <c r="G567" s="2" t="s">
        <v>273</v>
      </c>
      <c r="H567" s="2" t="s">
        <v>274</v>
      </c>
      <c r="I567" s="2" t="s">
        <v>49</v>
      </c>
      <c r="J567" s="2" t="s">
        <v>19</v>
      </c>
      <c r="K567" s="2" t="str">
        <f>_xlfn.XLOOKUP(TRIM(Table1[[#This Row],[Membership]]),Sheet2!$A$2:$A$7,Sheet2!$B$2:$B$7,"Checkmanually")</f>
        <v>Bronze</v>
      </c>
      <c r="L567" s="3">
        <v>43569</v>
      </c>
    </row>
    <row r="568" spans="1:12" x14ac:dyDescent="0.25">
      <c r="A568" s="2" t="s">
        <v>2327</v>
      </c>
      <c r="B568" s="2" t="s">
        <v>2328</v>
      </c>
      <c r="C568" s="2" t="s">
        <v>33</v>
      </c>
      <c r="D568" s="3">
        <v>35489</v>
      </c>
      <c r="E568" s="2" t="s">
        <v>2329</v>
      </c>
      <c r="F568" s="2" t="s">
        <v>2330</v>
      </c>
      <c r="G568" s="2" t="s">
        <v>84</v>
      </c>
      <c r="H568" s="2" t="s">
        <v>85</v>
      </c>
      <c r="I568" s="2" t="s">
        <v>18</v>
      </c>
      <c r="J568" s="2" t="s">
        <v>183</v>
      </c>
      <c r="K568" s="2" t="str">
        <f>_xlfn.XLOOKUP(TRIM(Table1[[#This Row],[Membership]]),Sheet2!$A$2:$A$7,Sheet2!$B$2:$B$7,"Checkmanually")</f>
        <v>Gold</v>
      </c>
      <c r="L568" s="3">
        <v>43697</v>
      </c>
    </row>
    <row r="569" spans="1:12" x14ac:dyDescent="0.25">
      <c r="A569" s="2" t="s">
        <v>2331</v>
      </c>
      <c r="B569" s="2" t="s">
        <v>2332</v>
      </c>
      <c r="C569" s="2" t="s">
        <v>13</v>
      </c>
      <c r="D569" s="3">
        <v>32551</v>
      </c>
      <c r="E569" s="2" t="s">
        <v>2333</v>
      </c>
      <c r="F569" s="2" t="s">
        <v>2334</v>
      </c>
      <c r="G569" s="2" t="s">
        <v>121</v>
      </c>
      <c r="H569" s="2" t="s">
        <v>122</v>
      </c>
      <c r="I569" s="2" t="s">
        <v>18</v>
      </c>
      <c r="J569" s="2" t="s">
        <v>183</v>
      </c>
      <c r="K569" s="2" t="str">
        <f>_xlfn.XLOOKUP(TRIM(Table1[[#This Row],[Membership]]),Sheet2!$A$2:$A$7,Sheet2!$B$2:$B$7,"Checkmanually")</f>
        <v>Gold</v>
      </c>
      <c r="L569" s="3">
        <v>43356</v>
      </c>
    </row>
    <row r="570" spans="1:12" x14ac:dyDescent="0.25">
      <c r="A570" s="2" t="s">
        <v>2335</v>
      </c>
      <c r="B570" s="2" t="s">
        <v>2336</v>
      </c>
      <c r="C570" s="2" t="s">
        <v>33</v>
      </c>
      <c r="D570" s="3">
        <v>27083</v>
      </c>
      <c r="E570" s="2" t="s">
        <v>2337</v>
      </c>
      <c r="F570" s="2" t="s">
        <v>2338</v>
      </c>
      <c r="G570" s="2" t="s">
        <v>131</v>
      </c>
      <c r="H570" s="2" t="s">
        <v>91</v>
      </c>
      <c r="I570" s="2" t="s">
        <v>18</v>
      </c>
      <c r="J570" s="2" t="s">
        <v>19</v>
      </c>
      <c r="K570" s="2" t="str">
        <f>_xlfn.XLOOKUP(TRIM(Table1[[#This Row],[Membership]]),Sheet2!$A$2:$A$7,Sheet2!$B$2:$B$7,"Checkmanually")</f>
        <v>Bronze</v>
      </c>
      <c r="L570" s="3">
        <v>43322</v>
      </c>
    </row>
    <row r="571" spans="1:12" x14ac:dyDescent="0.25">
      <c r="A571" s="2" t="s">
        <v>2339</v>
      </c>
      <c r="B571" s="2" t="s">
        <v>2340</v>
      </c>
      <c r="C571" s="2" t="s">
        <v>13</v>
      </c>
      <c r="D571" s="3">
        <v>25860</v>
      </c>
      <c r="E571" s="2" t="s">
        <v>2341</v>
      </c>
      <c r="F571" s="2" t="s">
        <v>2342</v>
      </c>
      <c r="G571" s="2" t="s">
        <v>40</v>
      </c>
      <c r="H571" s="2" t="s">
        <v>41</v>
      </c>
      <c r="I571" s="2" t="s">
        <v>42</v>
      </c>
      <c r="J571" s="2" t="s">
        <v>25</v>
      </c>
      <c r="K571" s="2" t="str">
        <f>_xlfn.XLOOKUP(TRIM(Table1[[#This Row],[Membership]]),Sheet2!$A$2:$A$7,Sheet2!$B$2:$B$7,"Checkmanually")</f>
        <v>Silver</v>
      </c>
      <c r="L571" s="3">
        <v>43443</v>
      </c>
    </row>
    <row r="572" spans="1:12" x14ac:dyDescent="0.25">
      <c r="A572" s="2" t="s">
        <v>2343</v>
      </c>
      <c r="B572" s="2" t="s">
        <v>2344</v>
      </c>
      <c r="C572" s="2" t="s">
        <v>13</v>
      </c>
      <c r="D572" s="3">
        <v>34882</v>
      </c>
      <c r="E572" s="2" t="s">
        <v>2345</v>
      </c>
      <c r="F572" s="2" t="s">
        <v>2346</v>
      </c>
      <c r="G572" s="2" t="s">
        <v>131</v>
      </c>
      <c r="H572" s="2" t="s">
        <v>91</v>
      </c>
      <c r="I572" s="2" t="s">
        <v>18</v>
      </c>
      <c r="J572" s="2" t="s">
        <v>183</v>
      </c>
      <c r="K572" s="2" t="str">
        <f>_xlfn.XLOOKUP(TRIM(Table1[[#This Row],[Membership]]),Sheet2!$A$2:$A$7,Sheet2!$B$2:$B$7,"Checkmanually")</f>
        <v>Gold</v>
      </c>
      <c r="L572" s="3">
        <v>44820</v>
      </c>
    </row>
    <row r="573" spans="1:12" x14ac:dyDescent="0.25">
      <c r="A573" s="2" t="s">
        <v>2347</v>
      </c>
      <c r="B573" s="2" t="s">
        <v>2348</v>
      </c>
      <c r="C573" s="2" t="s">
        <v>33</v>
      </c>
      <c r="D573" s="3">
        <v>21851</v>
      </c>
      <c r="E573" s="2" t="s">
        <v>2349</v>
      </c>
      <c r="F573" s="2" t="s">
        <v>2350</v>
      </c>
      <c r="G573" s="2" t="s">
        <v>30</v>
      </c>
      <c r="H573" s="2" t="s">
        <v>17</v>
      </c>
      <c r="I573" s="2" t="s">
        <v>18</v>
      </c>
      <c r="J573" s="2" t="s">
        <v>183</v>
      </c>
      <c r="K573" s="2" t="str">
        <f>_xlfn.XLOOKUP(TRIM(Table1[[#This Row],[Membership]]),Sheet2!$A$2:$A$7,Sheet2!$B$2:$B$7,"Checkmanually")</f>
        <v>Gold</v>
      </c>
      <c r="L573" s="3">
        <v>43479</v>
      </c>
    </row>
    <row r="574" spans="1:12" x14ac:dyDescent="0.25">
      <c r="A574" s="2" t="s">
        <v>2351</v>
      </c>
      <c r="B574" s="2" t="s">
        <v>2352</v>
      </c>
      <c r="C574" s="2" t="s">
        <v>13</v>
      </c>
      <c r="D574" s="3">
        <v>31535</v>
      </c>
      <c r="E574" s="2" t="s">
        <v>2353</v>
      </c>
      <c r="F574" s="2" t="s">
        <v>2354</v>
      </c>
      <c r="G574" s="2" t="s">
        <v>30</v>
      </c>
      <c r="H574" s="2" t="s">
        <v>17</v>
      </c>
      <c r="I574" s="2" t="s">
        <v>18</v>
      </c>
      <c r="J574" s="2" t="s">
        <v>2355</v>
      </c>
      <c r="K574" s="2" t="str">
        <f>_xlfn.XLOOKUP(TRIM(Table1[[#This Row],[Membership]]),Sheet2!$A$2:$A$7,Sheet2!$B$2:$B$7,"Checkmanually")</f>
        <v>Bronze</v>
      </c>
      <c r="L574" s="3">
        <v>44817</v>
      </c>
    </row>
    <row r="575" spans="1:12" x14ac:dyDescent="0.25">
      <c r="A575" s="2" t="s">
        <v>2356</v>
      </c>
      <c r="B575" s="2" t="s">
        <v>2357</v>
      </c>
      <c r="C575" s="2" t="s">
        <v>33</v>
      </c>
      <c r="D575" s="3">
        <v>34402</v>
      </c>
      <c r="E575" s="2" t="s">
        <v>2358</v>
      </c>
      <c r="F575" s="2" t="s">
        <v>2359</v>
      </c>
      <c r="G575" s="2" t="s">
        <v>228</v>
      </c>
      <c r="H575" s="2" t="s">
        <v>17</v>
      </c>
      <c r="I575" s="2" t="s">
        <v>18</v>
      </c>
      <c r="J575" s="2" t="s">
        <v>19</v>
      </c>
      <c r="K575" s="2" t="str">
        <f>_xlfn.XLOOKUP(TRIM(Table1[[#This Row],[Membership]]),Sheet2!$A$2:$A$7,Sheet2!$B$2:$B$7,"Checkmanually")</f>
        <v>Bronze</v>
      </c>
      <c r="L575" s="3">
        <v>44553</v>
      </c>
    </row>
    <row r="576" spans="1:12" x14ac:dyDescent="0.25">
      <c r="A576" s="2" t="s">
        <v>2360</v>
      </c>
      <c r="B576" s="2" t="s">
        <v>2361</v>
      </c>
      <c r="C576" s="2" t="s">
        <v>13</v>
      </c>
      <c r="D576" s="3">
        <v>26596</v>
      </c>
      <c r="E576" s="2" t="s">
        <v>2362</v>
      </c>
      <c r="F576" s="2" t="s">
        <v>2363</v>
      </c>
      <c r="G576" s="2" t="s">
        <v>16</v>
      </c>
      <c r="H576" s="2" t="s">
        <v>17</v>
      </c>
      <c r="I576" s="2" t="s">
        <v>18</v>
      </c>
      <c r="J576" s="2" t="s">
        <v>19</v>
      </c>
      <c r="K576" s="2" t="str">
        <f>_xlfn.XLOOKUP(TRIM(Table1[[#This Row],[Membership]]),Sheet2!$A$2:$A$7,Sheet2!$B$2:$B$7,"Checkmanually")</f>
        <v>Bronze</v>
      </c>
      <c r="L576" s="3">
        <v>43419</v>
      </c>
    </row>
    <row r="577" spans="1:12" x14ac:dyDescent="0.25">
      <c r="A577" s="2" t="s">
        <v>2364</v>
      </c>
      <c r="B577" s="2" t="s">
        <v>2365</v>
      </c>
      <c r="C577" s="2" t="s">
        <v>13</v>
      </c>
      <c r="D577" s="3">
        <v>30461</v>
      </c>
      <c r="E577" s="2" t="s">
        <v>2366</v>
      </c>
      <c r="F577" s="2" t="s">
        <v>2367</v>
      </c>
      <c r="G577" s="2" t="s">
        <v>121</v>
      </c>
      <c r="H577" s="2" t="s">
        <v>122</v>
      </c>
      <c r="I577" s="2"/>
      <c r="J577" s="2" t="s">
        <v>183</v>
      </c>
      <c r="K577" s="2" t="str">
        <f>_xlfn.XLOOKUP(TRIM(Table1[[#This Row],[Membership]]),Sheet2!$A$2:$A$7,Sheet2!$B$2:$B$7,"Checkmanually")</f>
        <v>Gold</v>
      </c>
      <c r="L577" s="3">
        <v>43159</v>
      </c>
    </row>
    <row r="578" spans="1:12" x14ac:dyDescent="0.25">
      <c r="A578" s="2" t="s">
        <v>2368</v>
      </c>
      <c r="B578" s="2" t="s">
        <v>2369</v>
      </c>
      <c r="C578" s="2" t="s">
        <v>13</v>
      </c>
      <c r="D578" s="3">
        <v>23812</v>
      </c>
      <c r="E578" s="2" t="s">
        <v>2370</v>
      </c>
      <c r="F578" s="2" t="s">
        <v>2371</v>
      </c>
      <c r="G578" s="2" t="s">
        <v>382</v>
      </c>
      <c r="H578" s="2" t="s">
        <v>145</v>
      </c>
      <c r="I578" s="2" t="s">
        <v>146</v>
      </c>
      <c r="J578" s="2" t="s">
        <v>19</v>
      </c>
      <c r="K578" s="2" t="str">
        <f>_xlfn.XLOOKUP(TRIM(Table1[[#This Row],[Membership]]),Sheet2!$A$2:$A$7,Sheet2!$B$2:$B$7,"Checkmanually")</f>
        <v>Bronze</v>
      </c>
      <c r="L578" s="3">
        <v>45861</v>
      </c>
    </row>
    <row r="579" spans="1:12" x14ac:dyDescent="0.25">
      <c r="A579" s="2" t="s">
        <v>2372</v>
      </c>
      <c r="B579" s="2" t="s">
        <v>2373</v>
      </c>
      <c r="C579" s="2" t="s">
        <v>33</v>
      </c>
      <c r="D579" s="3">
        <v>24209</v>
      </c>
      <c r="E579" s="2" t="s">
        <v>2374</v>
      </c>
      <c r="F579" s="2" t="s">
        <v>2375</v>
      </c>
      <c r="G579" s="2" t="s">
        <v>16</v>
      </c>
      <c r="H579" s="2" t="s">
        <v>17</v>
      </c>
      <c r="I579" s="2" t="s">
        <v>18</v>
      </c>
      <c r="J579" s="2" t="s">
        <v>19</v>
      </c>
      <c r="K579" s="2" t="str">
        <f>_xlfn.XLOOKUP(TRIM(Table1[[#This Row],[Membership]]),Sheet2!$A$2:$A$7,Sheet2!$B$2:$B$7,"Checkmanually")</f>
        <v>Bronze</v>
      </c>
      <c r="L579" s="3">
        <v>45699</v>
      </c>
    </row>
    <row r="580" spans="1:12" x14ac:dyDescent="0.25">
      <c r="A580" s="2" t="s">
        <v>2376</v>
      </c>
      <c r="B580" s="2" t="s">
        <v>2377</v>
      </c>
      <c r="C580" s="2" t="s">
        <v>33</v>
      </c>
      <c r="D580" s="3">
        <v>27253</v>
      </c>
      <c r="E580" s="2" t="s">
        <v>2378</v>
      </c>
      <c r="F580" s="2" t="s">
        <v>2379</v>
      </c>
      <c r="G580" s="2" t="s">
        <v>121</v>
      </c>
      <c r="H580" s="2" t="s">
        <v>122</v>
      </c>
      <c r="I580" s="2" t="s">
        <v>18</v>
      </c>
      <c r="J580" s="2" t="s">
        <v>183</v>
      </c>
      <c r="K580" s="2" t="str">
        <f>_xlfn.XLOOKUP(TRIM(Table1[[#This Row],[Membership]]),Sheet2!$A$2:$A$7,Sheet2!$B$2:$B$7,"Checkmanually")</f>
        <v>Gold</v>
      </c>
      <c r="L580" s="3">
        <v>43869</v>
      </c>
    </row>
    <row r="581" spans="1:12" x14ac:dyDescent="0.25">
      <c r="A581" s="2" t="s">
        <v>2380</v>
      </c>
      <c r="B581" s="2" t="s">
        <v>2381</v>
      </c>
      <c r="C581" s="2" t="s">
        <v>13</v>
      </c>
      <c r="D581" s="3">
        <v>27172</v>
      </c>
      <c r="E581" s="2" t="s">
        <v>2382</v>
      </c>
      <c r="F581" s="2" t="s">
        <v>2383</v>
      </c>
      <c r="G581" s="2" t="s">
        <v>228</v>
      </c>
      <c r="H581" s="2" t="s">
        <v>17</v>
      </c>
      <c r="I581" s="2" t="s">
        <v>18</v>
      </c>
      <c r="J581" s="2" t="s">
        <v>19</v>
      </c>
      <c r="K581" s="2" t="str">
        <f>_xlfn.XLOOKUP(TRIM(Table1[[#This Row],[Membership]]),Sheet2!$A$2:$A$7,Sheet2!$B$2:$B$7,"Checkmanually")</f>
        <v>Bronze</v>
      </c>
      <c r="L581" s="3">
        <v>44526</v>
      </c>
    </row>
    <row r="582" spans="1:12" x14ac:dyDescent="0.25">
      <c r="A582" s="2" t="s">
        <v>2384</v>
      </c>
      <c r="B582" s="2" t="s">
        <v>2385</v>
      </c>
      <c r="C582" s="2" t="s">
        <v>13</v>
      </c>
      <c r="D582" s="3">
        <v>32010</v>
      </c>
      <c r="E582" s="2" t="s">
        <v>2386</v>
      </c>
      <c r="F582" s="2" t="s">
        <v>2387</v>
      </c>
      <c r="G582" s="2" t="s">
        <v>104</v>
      </c>
      <c r="H582" s="2" t="s">
        <v>105</v>
      </c>
      <c r="I582" s="2" t="s">
        <v>42</v>
      </c>
      <c r="J582" s="2" t="s">
        <v>25</v>
      </c>
      <c r="K582" s="2" t="str">
        <f>_xlfn.XLOOKUP(TRIM(Table1[[#This Row],[Membership]]),Sheet2!$A$2:$A$7,Sheet2!$B$2:$B$7,"Checkmanually")</f>
        <v>Silver</v>
      </c>
      <c r="L582" s="3">
        <v>43167</v>
      </c>
    </row>
    <row r="583" spans="1:12" x14ac:dyDescent="0.25">
      <c r="A583" s="2" t="s">
        <v>2388</v>
      </c>
      <c r="B583" s="2" t="s">
        <v>2389</v>
      </c>
      <c r="C583" s="2" t="s">
        <v>33</v>
      </c>
      <c r="D583" s="3">
        <v>35032</v>
      </c>
      <c r="E583" s="2" t="s">
        <v>2390</v>
      </c>
      <c r="F583" s="2" t="s">
        <v>2391</v>
      </c>
      <c r="G583" s="2" t="s">
        <v>104</v>
      </c>
      <c r="H583" s="2" t="s">
        <v>105</v>
      </c>
      <c r="I583" s="2" t="s">
        <v>42</v>
      </c>
      <c r="J583" s="2" t="s">
        <v>19</v>
      </c>
      <c r="K583" s="2" t="str">
        <f>_xlfn.XLOOKUP(TRIM(Table1[[#This Row],[Membership]]),Sheet2!$A$2:$A$7,Sheet2!$B$2:$B$7,"Checkmanually")</f>
        <v>Bronze</v>
      </c>
      <c r="L583" s="3">
        <v>44796</v>
      </c>
    </row>
    <row r="584" spans="1:12" x14ac:dyDescent="0.25">
      <c r="A584" s="2" t="s">
        <v>2392</v>
      </c>
      <c r="B584" s="2" t="s">
        <v>2393</v>
      </c>
      <c r="C584" s="2" t="s">
        <v>13</v>
      </c>
      <c r="D584" s="3">
        <v>31094</v>
      </c>
      <c r="E584" s="2" t="s">
        <v>2394</v>
      </c>
      <c r="F584" s="2" t="s">
        <v>2395</v>
      </c>
      <c r="G584" s="2" t="s">
        <v>84</v>
      </c>
      <c r="H584" s="2" t="s">
        <v>85</v>
      </c>
      <c r="I584" s="2"/>
      <c r="J584" s="2" t="s">
        <v>25</v>
      </c>
      <c r="K584" s="2" t="str">
        <f>_xlfn.XLOOKUP(TRIM(Table1[[#This Row],[Membership]]),Sheet2!$A$2:$A$7,Sheet2!$B$2:$B$7,"Checkmanually")</f>
        <v>Silver</v>
      </c>
      <c r="L584" s="3">
        <v>43565</v>
      </c>
    </row>
    <row r="585" spans="1:12" x14ac:dyDescent="0.25">
      <c r="A585" s="2" t="s">
        <v>2396</v>
      </c>
      <c r="B585" s="2" t="s">
        <v>2397</v>
      </c>
      <c r="C585" s="2" t="s">
        <v>13</v>
      </c>
      <c r="D585" s="3">
        <v>25419</v>
      </c>
      <c r="E585" s="2" t="s">
        <v>2398</v>
      </c>
      <c r="F585" s="2" t="s">
        <v>2399</v>
      </c>
      <c r="G585" s="2" t="s">
        <v>24</v>
      </c>
      <c r="H585" s="2" t="s">
        <v>17</v>
      </c>
      <c r="I585" s="2" t="s">
        <v>18</v>
      </c>
      <c r="J585" s="2" t="s">
        <v>183</v>
      </c>
      <c r="K585" s="2" t="str">
        <f>_xlfn.XLOOKUP(TRIM(Table1[[#This Row],[Membership]]),Sheet2!$A$2:$A$7,Sheet2!$B$2:$B$7,"Checkmanually")</f>
        <v>Gold</v>
      </c>
      <c r="L585" s="3">
        <v>45324</v>
      </c>
    </row>
    <row r="586" spans="1:12" x14ac:dyDescent="0.25">
      <c r="A586" s="2" t="s">
        <v>2400</v>
      </c>
      <c r="B586" s="2" t="s">
        <v>2401</v>
      </c>
      <c r="C586" s="2" t="s">
        <v>33</v>
      </c>
      <c r="D586" s="3">
        <v>23341</v>
      </c>
      <c r="E586" s="2" t="s">
        <v>2402</v>
      </c>
      <c r="F586" s="2" t="s">
        <v>2403</v>
      </c>
      <c r="G586" s="2" t="s">
        <v>131</v>
      </c>
      <c r="H586" s="2" t="s">
        <v>91</v>
      </c>
      <c r="I586" s="2" t="s">
        <v>18</v>
      </c>
      <c r="J586" s="2" t="s">
        <v>19</v>
      </c>
      <c r="K586" s="2" t="str">
        <f>_xlfn.XLOOKUP(TRIM(Table1[[#This Row],[Membership]]),Sheet2!$A$2:$A$7,Sheet2!$B$2:$B$7,"Checkmanually")</f>
        <v>Bronze</v>
      </c>
      <c r="L586" s="3">
        <v>43459</v>
      </c>
    </row>
    <row r="587" spans="1:12" x14ac:dyDescent="0.25">
      <c r="A587" s="2" t="s">
        <v>2404</v>
      </c>
      <c r="B587" s="2" t="s">
        <v>2405</v>
      </c>
      <c r="C587" s="2" t="s">
        <v>13</v>
      </c>
      <c r="D587" s="3">
        <v>33566</v>
      </c>
      <c r="E587" s="2" t="s">
        <v>2406</v>
      </c>
      <c r="F587" s="2" t="s">
        <v>2407</v>
      </c>
      <c r="G587" s="2" t="s">
        <v>63</v>
      </c>
      <c r="H587" s="2" t="s">
        <v>17</v>
      </c>
      <c r="I587" s="2" t="s">
        <v>18</v>
      </c>
      <c r="J587" s="2" t="s">
        <v>19</v>
      </c>
      <c r="K587" s="2" t="str">
        <f>_xlfn.XLOOKUP(TRIM(Table1[[#This Row],[Membership]]),Sheet2!$A$2:$A$7,Sheet2!$B$2:$B$7,"Checkmanually")</f>
        <v>Bronze</v>
      </c>
      <c r="L587" s="3">
        <v>43525</v>
      </c>
    </row>
    <row r="588" spans="1:12" x14ac:dyDescent="0.25">
      <c r="A588" s="2" t="s">
        <v>2408</v>
      </c>
      <c r="B588" s="2" t="s">
        <v>2409</v>
      </c>
      <c r="C588" s="2" t="s">
        <v>13</v>
      </c>
      <c r="D588" s="3">
        <v>23357</v>
      </c>
      <c r="E588" s="2" t="s">
        <v>2410</v>
      </c>
      <c r="F588" s="2" t="s">
        <v>2411</v>
      </c>
      <c r="G588" s="2" t="s">
        <v>121</v>
      </c>
      <c r="H588" s="2" t="s">
        <v>122</v>
      </c>
      <c r="I588" s="2" t="s">
        <v>18</v>
      </c>
      <c r="J588" s="2" t="s">
        <v>19</v>
      </c>
      <c r="K588" s="2" t="str">
        <f>_xlfn.XLOOKUP(TRIM(Table1[[#This Row],[Membership]]),Sheet2!$A$2:$A$7,Sheet2!$B$2:$B$7,"Checkmanually")</f>
        <v>Bronze</v>
      </c>
      <c r="L588" s="3">
        <v>45695</v>
      </c>
    </row>
    <row r="589" spans="1:12" x14ac:dyDescent="0.25">
      <c r="A589" s="2" t="s">
        <v>2412</v>
      </c>
      <c r="B589" s="2" t="s">
        <v>2413</v>
      </c>
      <c r="C589" s="2" t="s">
        <v>33</v>
      </c>
      <c r="D589" s="3">
        <v>33873</v>
      </c>
      <c r="E589" s="2" t="s">
        <v>2414</v>
      </c>
      <c r="F589" s="2" t="s">
        <v>2415</v>
      </c>
      <c r="G589" s="2" t="s">
        <v>16</v>
      </c>
      <c r="H589" s="2" t="s">
        <v>17</v>
      </c>
      <c r="I589" s="2" t="s">
        <v>18</v>
      </c>
      <c r="J589" s="2" t="s">
        <v>19</v>
      </c>
      <c r="K589" s="2" t="str">
        <f>_xlfn.XLOOKUP(TRIM(Table1[[#This Row],[Membership]]),Sheet2!$A$2:$A$7,Sheet2!$B$2:$B$7,"Checkmanually")</f>
        <v>Bronze</v>
      </c>
      <c r="L589" s="3">
        <v>43968</v>
      </c>
    </row>
    <row r="590" spans="1:12" x14ac:dyDescent="0.25">
      <c r="A590" s="2" t="s">
        <v>2416</v>
      </c>
      <c r="B590" s="2" t="s">
        <v>2417</v>
      </c>
      <c r="C590" s="2" t="s">
        <v>33</v>
      </c>
      <c r="D590" s="3">
        <v>26498</v>
      </c>
      <c r="E590" s="2" t="s">
        <v>2418</v>
      </c>
      <c r="F590" s="2" t="s">
        <v>2419</v>
      </c>
      <c r="G590" s="2" t="s">
        <v>84</v>
      </c>
      <c r="H590" s="2" t="s">
        <v>85</v>
      </c>
      <c r="I590" s="2" t="s">
        <v>18</v>
      </c>
      <c r="J590" s="2" t="s">
        <v>25</v>
      </c>
      <c r="K590" s="2" t="str">
        <f>_xlfn.XLOOKUP(TRIM(Table1[[#This Row],[Membership]]),Sheet2!$A$2:$A$7,Sheet2!$B$2:$B$7,"Checkmanually")</f>
        <v>Silver</v>
      </c>
      <c r="L590" s="3">
        <v>45024</v>
      </c>
    </row>
    <row r="591" spans="1:12" x14ac:dyDescent="0.25">
      <c r="A591" s="2" t="s">
        <v>2420</v>
      </c>
      <c r="B591" s="2" t="s">
        <v>2421</v>
      </c>
      <c r="C591" s="2" t="s">
        <v>13</v>
      </c>
      <c r="D591" s="3">
        <v>33059</v>
      </c>
      <c r="E591" s="2" t="s">
        <v>2422</v>
      </c>
      <c r="F591" s="2" t="s">
        <v>2423</v>
      </c>
      <c r="G591" s="2" t="s">
        <v>90</v>
      </c>
      <c r="H591" s="2" t="s">
        <v>91</v>
      </c>
      <c r="I591" s="2" t="s">
        <v>18</v>
      </c>
      <c r="J591" s="2" t="s">
        <v>25</v>
      </c>
      <c r="K591" s="2" t="str">
        <f>_xlfn.XLOOKUP(TRIM(Table1[[#This Row],[Membership]]),Sheet2!$A$2:$A$7,Sheet2!$B$2:$B$7,"Checkmanually")</f>
        <v>Silver</v>
      </c>
      <c r="L591" s="3">
        <v>43132</v>
      </c>
    </row>
    <row r="592" spans="1:12" x14ac:dyDescent="0.25">
      <c r="A592" s="2" t="s">
        <v>2424</v>
      </c>
      <c r="B592" s="2" t="s">
        <v>2425</v>
      </c>
      <c r="C592" s="2" t="s">
        <v>13</v>
      </c>
      <c r="D592" s="3">
        <v>28757</v>
      </c>
      <c r="E592" s="2" t="s">
        <v>2426</v>
      </c>
      <c r="F592" s="2" t="s">
        <v>2427</v>
      </c>
      <c r="G592" s="2" t="s">
        <v>84</v>
      </c>
      <c r="H592" s="2" t="s">
        <v>85</v>
      </c>
      <c r="I592" s="2" t="s">
        <v>18</v>
      </c>
      <c r="J592" s="2" t="s">
        <v>25</v>
      </c>
      <c r="K592" s="2" t="str">
        <f>_xlfn.XLOOKUP(TRIM(Table1[[#This Row],[Membership]]),Sheet2!$A$2:$A$7,Sheet2!$B$2:$B$7,"Checkmanually")</f>
        <v>Silver</v>
      </c>
      <c r="L592" s="3">
        <v>44360</v>
      </c>
    </row>
    <row r="593" spans="1:12" x14ac:dyDescent="0.25">
      <c r="A593" s="2" t="s">
        <v>2428</v>
      </c>
      <c r="B593" s="2" t="s">
        <v>2429</v>
      </c>
      <c r="C593" s="2" t="s">
        <v>13</v>
      </c>
      <c r="D593" s="3">
        <v>33674</v>
      </c>
      <c r="E593" s="2" t="s">
        <v>2430</v>
      </c>
      <c r="F593" s="2" t="s">
        <v>2431</v>
      </c>
      <c r="G593" s="2" t="s">
        <v>115</v>
      </c>
      <c r="H593" s="2" t="s">
        <v>116</v>
      </c>
      <c r="I593" s="2" t="s">
        <v>42</v>
      </c>
      <c r="J593" s="2" t="s">
        <v>183</v>
      </c>
      <c r="K593" s="2" t="str">
        <f>_xlfn.XLOOKUP(TRIM(Table1[[#This Row],[Membership]]),Sheet2!$A$2:$A$7,Sheet2!$B$2:$B$7,"Checkmanually")</f>
        <v>Gold</v>
      </c>
      <c r="L593" s="3">
        <v>43234</v>
      </c>
    </row>
    <row r="594" spans="1:12" x14ac:dyDescent="0.25">
      <c r="A594" s="2" t="s">
        <v>2432</v>
      </c>
      <c r="B594" s="2" t="s">
        <v>2433</v>
      </c>
      <c r="C594" s="2" t="s">
        <v>33</v>
      </c>
      <c r="D594" s="3">
        <v>37095</v>
      </c>
      <c r="E594" s="2" t="s">
        <v>2434</v>
      </c>
      <c r="F594" s="2" t="s">
        <v>2435</v>
      </c>
      <c r="G594" s="2" t="s">
        <v>24</v>
      </c>
      <c r="H594" s="2" t="s">
        <v>17</v>
      </c>
      <c r="I594" s="2" t="s">
        <v>18</v>
      </c>
      <c r="J594" s="2" t="s">
        <v>19</v>
      </c>
      <c r="K594" s="2" t="str">
        <f>_xlfn.XLOOKUP(TRIM(Table1[[#This Row],[Membership]]),Sheet2!$A$2:$A$7,Sheet2!$B$2:$B$7,"Checkmanually")</f>
        <v>Bronze</v>
      </c>
      <c r="L594" s="3">
        <v>45558</v>
      </c>
    </row>
    <row r="595" spans="1:12" x14ac:dyDescent="0.25">
      <c r="A595" s="2" t="s">
        <v>2436</v>
      </c>
      <c r="B595" s="2" t="s">
        <v>2437</v>
      </c>
      <c r="C595" s="2" t="s">
        <v>33</v>
      </c>
      <c r="D595" s="3">
        <v>28014</v>
      </c>
      <c r="E595" s="2" t="s">
        <v>2438</v>
      </c>
      <c r="F595" s="2" t="s">
        <v>2439</v>
      </c>
      <c r="G595" s="2" t="s">
        <v>121</v>
      </c>
      <c r="H595" s="2" t="s">
        <v>122</v>
      </c>
      <c r="I595" s="2" t="s">
        <v>18</v>
      </c>
      <c r="J595" s="2" t="s">
        <v>19</v>
      </c>
      <c r="K595" s="2" t="str">
        <f>_xlfn.XLOOKUP(TRIM(Table1[[#This Row],[Membership]]),Sheet2!$A$2:$A$7,Sheet2!$B$2:$B$7,"Checkmanually")</f>
        <v>Bronze</v>
      </c>
      <c r="L595" s="3">
        <v>45377</v>
      </c>
    </row>
    <row r="596" spans="1:12" x14ac:dyDescent="0.25">
      <c r="A596" s="2" t="s">
        <v>2440</v>
      </c>
      <c r="B596" s="2" t="s">
        <v>2441</v>
      </c>
      <c r="C596" s="2" t="s">
        <v>13</v>
      </c>
      <c r="D596" s="3">
        <v>39025</v>
      </c>
      <c r="E596" s="2" t="s">
        <v>2442</v>
      </c>
      <c r="F596" s="2" t="s">
        <v>2443</v>
      </c>
      <c r="G596" s="2" t="s">
        <v>131</v>
      </c>
      <c r="H596" s="2" t="s">
        <v>91</v>
      </c>
      <c r="I596" s="2" t="s">
        <v>18</v>
      </c>
      <c r="J596" s="2" t="s">
        <v>19</v>
      </c>
      <c r="K596" s="2" t="str">
        <f>_xlfn.XLOOKUP(TRIM(Table1[[#This Row],[Membership]]),Sheet2!$A$2:$A$7,Sheet2!$B$2:$B$7,"Checkmanually")</f>
        <v>Bronze</v>
      </c>
      <c r="L596" s="3">
        <v>44858</v>
      </c>
    </row>
    <row r="597" spans="1:12" x14ac:dyDescent="0.25">
      <c r="A597" s="2" t="s">
        <v>2444</v>
      </c>
      <c r="B597" s="2" t="s">
        <v>2445</v>
      </c>
      <c r="C597" s="2" t="s">
        <v>13</v>
      </c>
      <c r="D597" s="3">
        <v>30514</v>
      </c>
      <c r="E597" s="2" t="s">
        <v>2446</v>
      </c>
      <c r="F597" s="2" t="s">
        <v>2447</v>
      </c>
      <c r="G597" s="2" t="s">
        <v>273</v>
      </c>
      <c r="H597" s="2" t="s">
        <v>274</v>
      </c>
      <c r="I597" s="2" t="s">
        <v>49</v>
      </c>
      <c r="J597" s="2" t="s">
        <v>25</v>
      </c>
      <c r="K597" s="2" t="str">
        <f>_xlfn.XLOOKUP(TRIM(Table1[[#This Row],[Membership]]),Sheet2!$A$2:$A$7,Sheet2!$B$2:$B$7,"Checkmanually")</f>
        <v>Silver</v>
      </c>
      <c r="L597" s="3">
        <v>45219</v>
      </c>
    </row>
    <row r="598" spans="1:12" x14ac:dyDescent="0.25">
      <c r="A598" s="2" t="s">
        <v>2448</v>
      </c>
      <c r="B598" s="2" t="s">
        <v>2449</v>
      </c>
      <c r="C598" s="2" t="s">
        <v>33</v>
      </c>
      <c r="D598" s="3">
        <v>24229</v>
      </c>
      <c r="E598" s="2" t="s">
        <v>2450</v>
      </c>
      <c r="F598" s="2" t="s">
        <v>2451</v>
      </c>
      <c r="G598" s="2" t="s">
        <v>63</v>
      </c>
      <c r="H598" s="2" t="s">
        <v>17</v>
      </c>
      <c r="I598" s="2" t="s">
        <v>18</v>
      </c>
      <c r="J598" s="2" t="s">
        <v>19</v>
      </c>
      <c r="K598" s="2" t="str">
        <f>_xlfn.XLOOKUP(TRIM(Table1[[#This Row],[Membership]]),Sheet2!$A$2:$A$7,Sheet2!$B$2:$B$7,"Checkmanually")</f>
        <v>Bronze</v>
      </c>
      <c r="L598" s="3">
        <v>45166</v>
      </c>
    </row>
    <row r="599" spans="1:12" x14ac:dyDescent="0.25">
      <c r="A599" s="2" t="s">
        <v>2452</v>
      </c>
      <c r="B599" s="2" t="s">
        <v>2453</v>
      </c>
      <c r="C599" s="2" t="s">
        <v>33</v>
      </c>
      <c r="D599" s="3">
        <v>28617</v>
      </c>
      <c r="E599" s="2" t="s">
        <v>2454</v>
      </c>
      <c r="F599" s="2" t="s">
        <v>2455</v>
      </c>
      <c r="G599" s="2" t="s">
        <v>131</v>
      </c>
      <c r="H599" s="2" t="s">
        <v>91</v>
      </c>
      <c r="I599" s="2" t="s">
        <v>18</v>
      </c>
      <c r="J599" s="2" t="s">
        <v>19</v>
      </c>
      <c r="K599" s="2" t="str">
        <f>_xlfn.XLOOKUP(TRIM(Table1[[#This Row],[Membership]]),Sheet2!$A$2:$A$7,Sheet2!$B$2:$B$7,"Checkmanually")</f>
        <v>Bronze</v>
      </c>
      <c r="L599" s="3">
        <v>45365</v>
      </c>
    </row>
    <row r="600" spans="1:12" x14ac:dyDescent="0.25">
      <c r="A600" s="2" t="s">
        <v>2456</v>
      </c>
      <c r="B600" s="2" t="s">
        <v>2457</v>
      </c>
      <c r="C600" s="2" t="s">
        <v>13</v>
      </c>
      <c r="D600" s="3">
        <v>34423</v>
      </c>
      <c r="E600" s="2" t="s">
        <v>2458</v>
      </c>
      <c r="F600" s="2" t="s">
        <v>2459</v>
      </c>
      <c r="G600" s="2" t="s">
        <v>387</v>
      </c>
      <c r="H600" s="2" t="s">
        <v>388</v>
      </c>
      <c r="I600" s="2" t="s">
        <v>146</v>
      </c>
      <c r="J600" s="2" t="s">
        <v>183</v>
      </c>
      <c r="K600" s="2" t="str">
        <f>_xlfn.XLOOKUP(TRIM(Table1[[#This Row],[Membership]]),Sheet2!$A$2:$A$7,Sheet2!$B$2:$B$7,"Checkmanually")</f>
        <v>Gold</v>
      </c>
      <c r="L600" s="3">
        <v>43148</v>
      </c>
    </row>
    <row r="601" spans="1:12" x14ac:dyDescent="0.25">
      <c r="A601" s="2" t="s">
        <v>2460</v>
      </c>
      <c r="B601" s="2" t="s">
        <v>2461</v>
      </c>
      <c r="C601" s="2" t="s">
        <v>13</v>
      </c>
      <c r="D601" s="3">
        <v>37905</v>
      </c>
      <c r="E601" s="2" t="s">
        <v>2462</v>
      </c>
      <c r="F601" s="2" t="s">
        <v>2463</v>
      </c>
      <c r="G601" s="2" t="s">
        <v>228</v>
      </c>
      <c r="H601" s="2" t="s">
        <v>17</v>
      </c>
      <c r="I601" s="2" t="s">
        <v>18</v>
      </c>
      <c r="J601" s="2" t="s">
        <v>183</v>
      </c>
      <c r="K601" s="2" t="str">
        <f>_xlfn.XLOOKUP(TRIM(Table1[[#This Row],[Membership]]),Sheet2!$A$2:$A$7,Sheet2!$B$2:$B$7,"Checkmanually")</f>
        <v>Gold</v>
      </c>
      <c r="L601" s="3">
        <v>43423</v>
      </c>
    </row>
    <row r="602" spans="1:12" x14ac:dyDescent="0.25">
      <c r="A602" s="2" t="s">
        <v>2464</v>
      </c>
      <c r="B602" s="2" t="s">
        <v>2465</v>
      </c>
      <c r="C602" s="2" t="s">
        <v>33</v>
      </c>
      <c r="D602" s="3">
        <v>31824</v>
      </c>
      <c r="E602" s="2" t="s">
        <v>2466</v>
      </c>
      <c r="F602" s="2" t="s">
        <v>2467</v>
      </c>
      <c r="G602" s="2" t="s">
        <v>228</v>
      </c>
      <c r="H602" s="2" t="s">
        <v>17</v>
      </c>
      <c r="I602" s="2" t="s">
        <v>18</v>
      </c>
      <c r="J602" s="2" t="s">
        <v>19</v>
      </c>
      <c r="K602" s="2" t="str">
        <f>_xlfn.XLOOKUP(TRIM(Table1[[#This Row],[Membership]]),Sheet2!$A$2:$A$7,Sheet2!$B$2:$B$7,"Checkmanually")</f>
        <v>Bronze</v>
      </c>
      <c r="L602" s="3">
        <v>43865</v>
      </c>
    </row>
    <row r="603" spans="1:12" x14ac:dyDescent="0.25">
      <c r="A603" s="2" t="s">
        <v>2468</v>
      </c>
      <c r="B603" s="2" t="s">
        <v>2469</v>
      </c>
      <c r="C603" s="2" t="s">
        <v>13</v>
      </c>
      <c r="D603" s="3">
        <v>37634</v>
      </c>
      <c r="E603" s="2" t="s">
        <v>2470</v>
      </c>
      <c r="F603" s="2" t="s">
        <v>2471</v>
      </c>
      <c r="G603" s="2" t="s">
        <v>54</v>
      </c>
      <c r="H603" s="2" t="s">
        <v>17</v>
      </c>
      <c r="I603" s="2" t="s">
        <v>18</v>
      </c>
      <c r="J603" s="2" t="s">
        <v>25</v>
      </c>
      <c r="K603" s="2" t="str">
        <f>_xlfn.XLOOKUP(TRIM(Table1[[#This Row],[Membership]]),Sheet2!$A$2:$A$7,Sheet2!$B$2:$B$7,"Checkmanually")</f>
        <v>Silver</v>
      </c>
      <c r="L603" s="3">
        <v>44105</v>
      </c>
    </row>
    <row r="604" spans="1:12" x14ac:dyDescent="0.25">
      <c r="A604" s="2" t="s">
        <v>2472</v>
      </c>
      <c r="B604" s="2" t="s">
        <v>2473</v>
      </c>
      <c r="C604" s="2" t="s">
        <v>13</v>
      </c>
      <c r="D604" s="3">
        <v>21785</v>
      </c>
      <c r="E604" s="2" t="s">
        <v>2474</v>
      </c>
      <c r="F604" s="2" t="s">
        <v>2475</v>
      </c>
      <c r="G604" s="2" t="s">
        <v>131</v>
      </c>
      <c r="H604" s="2" t="s">
        <v>91</v>
      </c>
      <c r="I604" s="2" t="s">
        <v>18</v>
      </c>
      <c r="J604" s="2" t="s">
        <v>19</v>
      </c>
      <c r="K604" s="2" t="str">
        <f>_xlfn.XLOOKUP(TRIM(Table1[[#This Row],[Membership]]),Sheet2!$A$2:$A$7,Sheet2!$B$2:$B$7,"Checkmanually")</f>
        <v>Bronze</v>
      </c>
      <c r="L604" s="3">
        <v>44227</v>
      </c>
    </row>
    <row r="605" spans="1:12" x14ac:dyDescent="0.25">
      <c r="A605" s="2" t="s">
        <v>2476</v>
      </c>
      <c r="B605" s="2" t="s">
        <v>2477</v>
      </c>
      <c r="C605" s="2" t="s">
        <v>33</v>
      </c>
      <c r="D605" s="3">
        <v>39074</v>
      </c>
      <c r="E605" s="2" t="s">
        <v>2478</v>
      </c>
      <c r="F605" s="2" t="s">
        <v>2479</v>
      </c>
      <c r="G605" s="2" t="s">
        <v>104</v>
      </c>
      <c r="H605" s="2" t="s">
        <v>105</v>
      </c>
      <c r="I605" s="2" t="s">
        <v>42</v>
      </c>
      <c r="J605" s="2" t="s">
        <v>19</v>
      </c>
      <c r="K605" s="2" t="str">
        <f>_xlfn.XLOOKUP(TRIM(Table1[[#This Row],[Membership]]),Sheet2!$A$2:$A$7,Sheet2!$B$2:$B$7,"Checkmanually")</f>
        <v>Bronze</v>
      </c>
      <c r="L605" s="3">
        <v>43524</v>
      </c>
    </row>
    <row r="606" spans="1:12" x14ac:dyDescent="0.25">
      <c r="A606" s="2" t="s">
        <v>2480</v>
      </c>
      <c r="B606" s="2" t="s">
        <v>2481</v>
      </c>
      <c r="C606" s="2" t="s">
        <v>33</v>
      </c>
      <c r="D606" s="3">
        <v>24737</v>
      </c>
      <c r="E606" s="2" t="s">
        <v>2482</v>
      </c>
      <c r="F606" s="2" t="s">
        <v>2483</v>
      </c>
      <c r="G606" s="2" t="s">
        <v>121</v>
      </c>
      <c r="H606" s="2" t="s">
        <v>122</v>
      </c>
      <c r="I606" s="2" t="s">
        <v>18</v>
      </c>
      <c r="J606" s="2" t="s">
        <v>183</v>
      </c>
      <c r="K606" s="2" t="str">
        <f>_xlfn.XLOOKUP(TRIM(Table1[[#This Row],[Membership]]),Sheet2!$A$2:$A$7,Sheet2!$B$2:$B$7,"Checkmanually")</f>
        <v>Gold</v>
      </c>
      <c r="L606" s="3">
        <v>44257</v>
      </c>
    </row>
    <row r="607" spans="1:12" x14ac:dyDescent="0.25">
      <c r="A607" s="2" t="s">
        <v>2484</v>
      </c>
      <c r="B607" s="2" t="s">
        <v>2485</v>
      </c>
      <c r="C607" s="2" t="s">
        <v>33</v>
      </c>
      <c r="D607" s="3">
        <v>31932</v>
      </c>
      <c r="E607" s="2" t="s">
        <v>2486</v>
      </c>
      <c r="F607" s="2" t="s">
        <v>2487</v>
      </c>
      <c r="G607" s="2" t="s">
        <v>387</v>
      </c>
      <c r="H607" s="2" t="s">
        <v>388</v>
      </c>
      <c r="I607" s="2" t="s">
        <v>146</v>
      </c>
      <c r="J607" s="2" t="s">
        <v>25</v>
      </c>
      <c r="K607" s="2" t="str">
        <f>_xlfn.XLOOKUP(TRIM(Table1[[#This Row],[Membership]]),Sheet2!$A$2:$A$7,Sheet2!$B$2:$B$7,"Checkmanually")</f>
        <v>Silver</v>
      </c>
      <c r="L607" s="3">
        <v>43952</v>
      </c>
    </row>
    <row r="608" spans="1:12" x14ac:dyDescent="0.25">
      <c r="A608" s="2" t="s">
        <v>2488</v>
      </c>
      <c r="B608" s="2" t="s">
        <v>2489</v>
      </c>
      <c r="C608" s="2" t="s">
        <v>13</v>
      </c>
      <c r="D608" s="3">
        <v>36032</v>
      </c>
      <c r="E608" s="2" t="s">
        <v>2490</v>
      </c>
      <c r="F608" s="2" t="s">
        <v>2491</v>
      </c>
      <c r="G608" s="2" t="s">
        <v>16</v>
      </c>
      <c r="H608" s="2" t="s">
        <v>17</v>
      </c>
      <c r="I608" s="2" t="s">
        <v>18</v>
      </c>
      <c r="J608" s="2" t="s">
        <v>25</v>
      </c>
      <c r="K608" s="2" t="str">
        <f>_xlfn.XLOOKUP(TRIM(Table1[[#This Row],[Membership]]),Sheet2!$A$2:$A$7,Sheet2!$B$2:$B$7,"Checkmanually")</f>
        <v>Silver</v>
      </c>
      <c r="L608" s="3">
        <v>45663</v>
      </c>
    </row>
    <row r="609" spans="1:12" x14ac:dyDescent="0.25">
      <c r="A609" s="2" t="s">
        <v>2492</v>
      </c>
      <c r="B609" s="2" t="s">
        <v>2493</v>
      </c>
      <c r="C609" s="2" t="s">
        <v>33</v>
      </c>
      <c r="D609" s="3">
        <v>30365</v>
      </c>
      <c r="E609" s="2" t="s">
        <v>2494</v>
      </c>
      <c r="F609" s="2" t="s">
        <v>2495</v>
      </c>
      <c r="G609" s="2" t="s">
        <v>131</v>
      </c>
      <c r="H609" s="2" t="s">
        <v>91</v>
      </c>
      <c r="I609" s="2" t="s">
        <v>18</v>
      </c>
      <c r="J609" s="2" t="s">
        <v>25</v>
      </c>
      <c r="K609" s="2" t="str">
        <f>_xlfn.XLOOKUP(TRIM(Table1[[#This Row],[Membership]]),Sheet2!$A$2:$A$7,Sheet2!$B$2:$B$7,"Checkmanually")</f>
        <v>Silver</v>
      </c>
      <c r="L609" s="3">
        <v>45696</v>
      </c>
    </row>
    <row r="610" spans="1:12" x14ac:dyDescent="0.25">
      <c r="A610" s="2" t="s">
        <v>2496</v>
      </c>
      <c r="B610" s="2" t="s">
        <v>2497</v>
      </c>
      <c r="C610" s="2" t="s">
        <v>33</v>
      </c>
      <c r="D610" s="3">
        <v>25944</v>
      </c>
      <c r="E610" s="2" t="s">
        <v>2498</v>
      </c>
      <c r="F610" s="2" t="s">
        <v>2499</v>
      </c>
      <c r="G610" s="2" t="s">
        <v>228</v>
      </c>
      <c r="H610" s="2" t="s">
        <v>17</v>
      </c>
      <c r="I610" s="2" t="s">
        <v>18</v>
      </c>
      <c r="J610" s="2" t="s">
        <v>25</v>
      </c>
      <c r="K610" s="2" t="str">
        <f>_xlfn.XLOOKUP(TRIM(Table1[[#This Row],[Membership]]),Sheet2!$A$2:$A$7,Sheet2!$B$2:$B$7,"Checkmanually")</f>
        <v>Silver</v>
      </c>
      <c r="L610" s="3">
        <v>45802</v>
      </c>
    </row>
    <row r="611" spans="1:12" x14ac:dyDescent="0.25">
      <c r="A611" s="2" t="s">
        <v>2500</v>
      </c>
      <c r="B611" s="2" t="s">
        <v>2501</v>
      </c>
      <c r="C611" s="2" t="s">
        <v>33</v>
      </c>
      <c r="D611" s="3">
        <v>31323</v>
      </c>
      <c r="E611" s="2" t="s">
        <v>2502</v>
      </c>
      <c r="F611" s="2" t="s">
        <v>2503</v>
      </c>
      <c r="G611" s="2" t="s">
        <v>16</v>
      </c>
      <c r="H611" s="2" t="s">
        <v>17</v>
      </c>
      <c r="I611" s="2" t="s">
        <v>18</v>
      </c>
      <c r="J611" s="2" t="s">
        <v>183</v>
      </c>
      <c r="K611" s="2" t="str">
        <f>_xlfn.XLOOKUP(TRIM(Table1[[#This Row],[Membership]]),Sheet2!$A$2:$A$7,Sheet2!$B$2:$B$7,"Checkmanually")</f>
        <v>Gold</v>
      </c>
      <c r="L611" s="3">
        <v>44521</v>
      </c>
    </row>
    <row r="612" spans="1:12" x14ac:dyDescent="0.25">
      <c r="A612" s="2" t="s">
        <v>2504</v>
      </c>
      <c r="B612" s="2" t="s">
        <v>2505</v>
      </c>
      <c r="C612" s="2" t="s">
        <v>33</v>
      </c>
      <c r="D612" s="3">
        <v>28429</v>
      </c>
      <c r="E612" s="2" t="s">
        <v>2506</v>
      </c>
      <c r="F612" s="2" t="s">
        <v>2507</v>
      </c>
      <c r="G612" s="2" t="s">
        <v>104</v>
      </c>
      <c r="H612" s="2" t="s">
        <v>105</v>
      </c>
      <c r="I612" s="2" t="s">
        <v>42</v>
      </c>
      <c r="J612" s="2" t="s">
        <v>183</v>
      </c>
      <c r="K612" s="2" t="str">
        <f>_xlfn.XLOOKUP(TRIM(Table1[[#This Row],[Membership]]),Sheet2!$A$2:$A$7,Sheet2!$B$2:$B$7,"Checkmanually")</f>
        <v>Gold</v>
      </c>
      <c r="L612" s="3">
        <v>43599</v>
      </c>
    </row>
    <row r="613" spans="1:12" x14ac:dyDescent="0.25">
      <c r="A613" s="2" t="s">
        <v>2508</v>
      </c>
      <c r="B613" s="2" t="s">
        <v>2509</v>
      </c>
      <c r="C613" s="2" t="s">
        <v>33</v>
      </c>
      <c r="D613" s="3">
        <v>36858</v>
      </c>
      <c r="E613" s="2" t="s">
        <v>2510</v>
      </c>
      <c r="F613" s="2" t="s">
        <v>2511</v>
      </c>
      <c r="G613" s="2" t="s">
        <v>84</v>
      </c>
      <c r="H613" s="2" t="s">
        <v>85</v>
      </c>
      <c r="I613" s="2" t="s">
        <v>18</v>
      </c>
      <c r="J613" s="2" t="s">
        <v>183</v>
      </c>
      <c r="K613" s="2" t="str">
        <f>_xlfn.XLOOKUP(TRIM(Table1[[#This Row],[Membership]]),Sheet2!$A$2:$A$7,Sheet2!$B$2:$B$7,"Checkmanually")</f>
        <v>Gold</v>
      </c>
      <c r="L613" s="3">
        <v>43725</v>
      </c>
    </row>
    <row r="614" spans="1:12" x14ac:dyDescent="0.25">
      <c r="A614" s="2" t="s">
        <v>2512</v>
      </c>
      <c r="B614" s="2" t="s">
        <v>2513</v>
      </c>
      <c r="C614" s="2" t="s">
        <v>13</v>
      </c>
      <c r="D614" s="3">
        <v>24630</v>
      </c>
      <c r="E614" s="2" t="s">
        <v>2514</v>
      </c>
      <c r="F614" s="2" t="s">
        <v>2515</v>
      </c>
      <c r="G614" s="2" t="s">
        <v>577</v>
      </c>
      <c r="H614" s="2" t="s">
        <v>388</v>
      </c>
      <c r="I614" s="2" t="s">
        <v>146</v>
      </c>
      <c r="J614" s="2" t="s">
        <v>183</v>
      </c>
      <c r="K614" s="2" t="str">
        <f>_xlfn.XLOOKUP(TRIM(Table1[[#This Row],[Membership]]),Sheet2!$A$2:$A$7,Sheet2!$B$2:$B$7,"Checkmanually")</f>
        <v>Gold</v>
      </c>
      <c r="L614" s="3">
        <v>44001</v>
      </c>
    </row>
    <row r="615" spans="1:12" x14ac:dyDescent="0.25">
      <c r="A615" s="2" t="s">
        <v>2516</v>
      </c>
      <c r="B615" s="2" t="s">
        <v>2517</v>
      </c>
      <c r="C615" s="2" t="s">
        <v>33</v>
      </c>
      <c r="D615" s="3">
        <v>35870</v>
      </c>
      <c r="E615" s="2" t="s">
        <v>2518</v>
      </c>
      <c r="F615" s="2" t="s">
        <v>2519</v>
      </c>
      <c r="G615" s="2" t="s">
        <v>228</v>
      </c>
      <c r="H615" s="2" t="s">
        <v>17</v>
      </c>
      <c r="I615" s="2" t="s">
        <v>18</v>
      </c>
      <c r="J615" s="2" t="s">
        <v>25</v>
      </c>
      <c r="K615" s="2" t="str">
        <f>_xlfn.XLOOKUP(TRIM(Table1[[#This Row],[Membership]]),Sheet2!$A$2:$A$7,Sheet2!$B$2:$B$7,"Checkmanually")</f>
        <v>Silver</v>
      </c>
      <c r="L615" s="3">
        <v>43917</v>
      </c>
    </row>
    <row r="616" spans="1:12" x14ac:dyDescent="0.25">
      <c r="A616" s="2" t="s">
        <v>2520</v>
      </c>
      <c r="B616" s="2" t="s">
        <v>2521</v>
      </c>
      <c r="C616" s="2" t="s">
        <v>13</v>
      </c>
      <c r="D616" s="3">
        <v>35394</v>
      </c>
      <c r="E616" s="2" t="s">
        <v>2522</v>
      </c>
      <c r="F616" s="2" t="s">
        <v>2523</v>
      </c>
      <c r="G616" s="2" t="s">
        <v>84</v>
      </c>
      <c r="H616" s="2" t="s">
        <v>85</v>
      </c>
      <c r="I616" s="2" t="s">
        <v>18</v>
      </c>
      <c r="J616" s="2" t="s">
        <v>19</v>
      </c>
      <c r="K616" s="2" t="str">
        <f>_xlfn.XLOOKUP(TRIM(Table1[[#This Row],[Membership]]),Sheet2!$A$2:$A$7,Sheet2!$B$2:$B$7,"Checkmanually")</f>
        <v>Bronze</v>
      </c>
      <c r="L616" s="3">
        <v>45131</v>
      </c>
    </row>
    <row r="617" spans="1:12" x14ac:dyDescent="0.25">
      <c r="A617" s="2" t="s">
        <v>2524</v>
      </c>
      <c r="B617" s="2" t="s">
        <v>2525</v>
      </c>
      <c r="C617" s="2" t="s">
        <v>13</v>
      </c>
      <c r="D617" s="3">
        <v>28285</v>
      </c>
      <c r="E617" s="2" t="s">
        <v>2526</v>
      </c>
      <c r="F617" s="2" t="s">
        <v>2527</v>
      </c>
      <c r="G617" s="2" t="s">
        <v>131</v>
      </c>
      <c r="H617" s="2" t="s">
        <v>91</v>
      </c>
      <c r="I617" s="2" t="s">
        <v>18</v>
      </c>
      <c r="J617" s="2" t="s">
        <v>19</v>
      </c>
      <c r="K617" s="2" t="str">
        <f>_xlfn.XLOOKUP(TRIM(Table1[[#This Row],[Membership]]),Sheet2!$A$2:$A$7,Sheet2!$B$2:$B$7,"Checkmanually")</f>
        <v>Bronze</v>
      </c>
      <c r="L617" s="3">
        <v>43809</v>
      </c>
    </row>
    <row r="618" spans="1:12" x14ac:dyDescent="0.25">
      <c r="A618" s="2" t="s">
        <v>2528</v>
      </c>
      <c r="B618" s="2" t="s">
        <v>2529</v>
      </c>
      <c r="C618" s="2" t="s">
        <v>33</v>
      </c>
      <c r="D618" s="3">
        <v>23461</v>
      </c>
      <c r="E618" s="2" t="s">
        <v>2530</v>
      </c>
      <c r="F618" s="2" t="s">
        <v>2531</v>
      </c>
      <c r="G618" s="2" t="s">
        <v>30</v>
      </c>
      <c r="H618" s="2" t="s">
        <v>17</v>
      </c>
      <c r="I618" s="2" t="s">
        <v>18</v>
      </c>
      <c r="J618" s="2" t="s">
        <v>2532</v>
      </c>
      <c r="K618" s="2" t="str">
        <f>_xlfn.XLOOKUP(TRIM(Table1[[#This Row],[Membership]]),Sheet2!$A$2:$A$7,Sheet2!$B$2:$B$7,"Checkmanually")</f>
        <v>Silver</v>
      </c>
      <c r="L618" s="3">
        <v>45491</v>
      </c>
    </row>
    <row r="619" spans="1:12" x14ac:dyDescent="0.25">
      <c r="A619" s="2" t="s">
        <v>2533</v>
      </c>
      <c r="B619" s="2" t="s">
        <v>2534</v>
      </c>
      <c r="C619" s="2" t="s">
        <v>13</v>
      </c>
      <c r="D619" s="3">
        <v>26834</v>
      </c>
      <c r="E619" s="2" t="s">
        <v>2535</v>
      </c>
      <c r="F619" s="2" t="s">
        <v>2536</v>
      </c>
      <c r="G619" s="2" t="s">
        <v>30</v>
      </c>
      <c r="H619" s="2" t="s">
        <v>17</v>
      </c>
      <c r="I619" s="2" t="s">
        <v>18</v>
      </c>
      <c r="J619" s="2" t="s">
        <v>183</v>
      </c>
      <c r="K619" s="2" t="str">
        <f>_xlfn.XLOOKUP(TRIM(Table1[[#This Row],[Membership]]),Sheet2!$A$2:$A$7,Sheet2!$B$2:$B$7,"Checkmanually")</f>
        <v>Gold</v>
      </c>
      <c r="L619" s="3">
        <v>46058</v>
      </c>
    </row>
    <row r="620" spans="1:12" x14ac:dyDescent="0.25">
      <c r="A620" s="2" t="s">
        <v>2537</v>
      </c>
      <c r="B620" s="2" t="s">
        <v>2538</v>
      </c>
      <c r="C620" s="2" t="s">
        <v>13</v>
      </c>
      <c r="D620" s="3">
        <v>28992</v>
      </c>
      <c r="E620" s="2" t="s">
        <v>2539</v>
      </c>
      <c r="F620" s="2" t="s">
        <v>2540</v>
      </c>
      <c r="G620" s="2" t="s">
        <v>90</v>
      </c>
      <c r="H620" s="2" t="s">
        <v>91</v>
      </c>
      <c r="I620" s="2" t="s">
        <v>18</v>
      </c>
      <c r="J620" s="2" t="s">
        <v>25</v>
      </c>
      <c r="K620" s="2" t="str">
        <f>_xlfn.XLOOKUP(TRIM(Table1[[#This Row],[Membership]]),Sheet2!$A$2:$A$7,Sheet2!$B$2:$B$7,"Checkmanually")</f>
        <v>Silver</v>
      </c>
      <c r="L620" s="3">
        <v>44406</v>
      </c>
    </row>
    <row r="621" spans="1:12" x14ac:dyDescent="0.25">
      <c r="A621" s="2" t="s">
        <v>2541</v>
      </c>
      <c r="B621" s="2" t="s">
        <v>2542</v>
      </c>
      <c r="C621" s="2" t="s">
        <v>33</v>
      </c>
      <c r="D621" s="3">
        <v>38674</v>
      </c>
      <c r="E621" s="2" t="s">
        <v>2543</v>
      </c>
      <c r="F621" s="2" t="s">
        <v>2544</v>
      </c>
      <c r="G621" s="2" t="s">
        <v>131</v>
      </c>
      <c r="H621" s="2" t="s">
        <v>91</v>
      </c>
      <c r="I621" s="2" t="s">
        <v>18</v>
      </c>
      <c r="J621" s="2" t="s">
        <v>25</v>
      </c>
      <c r="K621" s="2" t="str">
        <f>_xlfn.XLOOKUP(TRIM(Table1[[#This Row],[Membership]]),Sheet2!$A$2:$A$7,Sheet2!$B$2:$B$7,"Checkmanually")</f>
        <v>Silver</v>
      </c>
      <c r="L621" s="3">
        <v>44546</v>
      </c>
    </row>
    <row r="622" spans="1:12" x14ac:dyDescent="0.25">
      <c r="A622" s="2" t="s">
        <v>2545</v>
      </c>
      <c r="B622" s="2" t="s">
        <v>2546</v>
      </c>
      <c r="C622" s="2" t="s">
        <v>13</v>
      </c>
      <c r="D622" s="3">
        <v>21196</v>
      </c>
      <c r="E622" s="2" t="s">
        <v>2547</v>
      </c>
      <c r="F622" s="2" t="s">
        <v>2548</v>
      </c>
      <c r="G622" s="2" t="s">
        <v>382</v>
      </c>
      <c r="H622" s="2" t="s">
        <v>145</v>
      </c>
      <c r="I622" s="2" t="s">
        <v>146</v>
      </c>
      <c r="J622" s="2" t="s">
        <v>183</v>
      </c>
      <c r="K622" s="2" t="str">
        <f>_xlfn.XLOOKUP(TRIM(Table1[[#This Row],[Membership]]),Sheet2!$A$2:$A$7,Sheet2!$B$2:$B$7,"Checkmanually")</f>
        <v>Gold</v>
      </c>
      <c r="L622" s="3">
        <v>45195</v>
      </c>
    </row>
    <row r="623" spans="1:12" x14ac:dyDescent="0.25">
      <c r="A623" s="2" t="s">
        <v>2549</v>
      </c>
      <c r="B623" s="2" t="s">
        <v>2550</v>
      </c>
      <c r="C623" s="2" t="s">
        <v>13</v>
      </c>
      <c r="D623" s="3">
        <v>37473</v>
      </c>
      <c r="E623" s="2" t="s">
        <v>2551</v>
      </c>
      <c r="F623" s="2" t="s">
        <v>2552</v>
      </c>
      <c r="G623" s="2" t="s">
        <v>30</v>
      </c>
      <c r="H623" s="2" t="s">
        <v>17</v>
      </c>
      <c r="I623" s="2" t="s">
        <v>18</v>
      </c>
      <c r="J623" s="2" t="s">
        <v>19</v>
      </c>
      <c r="K623" s="2" t="str">
        <f>_xlfn.XLOOKUP(TRIM(Table1[[#This Row],[Membership]]),Sheet2!$A$2:$A$7,Sheet2!$B$2:$B$7,"Checkmanually")</f>
        <v>Bronze</v>
      </c>
      <c r="L623" s="3">
        <v>44543</v>
      </c>
    </row>
    <row r="624" spans="1:12" x14ac:dyDescent="0.25">
      <c r="A624" s="2" t="s">
        <v>2553</v>
      </c>
      <c r="B624" s="2" t="s">
        <v>2554</v>
      </c>
      <c r="C624" s="2" t="s">
        <v>33</v>
      </c>
      <c r="D624" s="3">
        <v>34160</v>
      </c>
      <c r="E624" s="2" t="s">
        <v>2555</v>
      </c>
      <c r="F624" s="2" t="s">
        <v>2556</v>
      </c>
      <c r="G624" s="2" t="s">
        <v>228</v>
      </c>
      <c r="H624" s="2" t="s">
        <v>17</v>
      </c>
      <c r="I624" s="2" t="s">
        <v>18</v>
      </c>
      <c r="J624" s="2" t="s">
        <v>19</v>
      </c>
      <c r="K624" s="2" t="str">
        <f>_xlfn.XLOOKUP(TRIM(Table1[[#This Row],[Membership]]),Sheet2!$A$2:$A$7,Sheet2!$B$2:$B$7,"Checkmanually")</f>
        <v>Bronze</v>
      </c>
      <c r="L624" s="3">
        <v>43862</v>
      </c>
    </row>
    <row r="625" spans="1:12" x14ac:dyDescent="0.25">
      <c r="A625" s="2" t="s">
        <v>2557</v>
      </c>
      <c r="B625" s="2" t="s">
        <v>2558</v>
      </c>
      <c r="C625" s="2" t="s">
        <v>13</v>
      </c>
      <c r="D625" s="3">
        <v>32278</v>
      </c>
      <c r="E625" s="2" t="s">
        <v>2559</v>
      </c>
      <c r="F625" s="2" t="s">
        <v>2560</v>
      </c>
      <c r="G625" s="2" t="s">
        <v>54</v>
      </c>
      <c r="H625" s="2" t="s">
        <v>17</v>
      </c>
      <c r="I625" s="2" t="s">
        <v>18</v>
      </c>
      <c r="J625" s="2" t="s">
        <v>19</v>
      </c>
      <c r="K625" s="2" t="str">
        <f>_xlfn.XLOOKUP(TRIM(Table1[[#This Row],[Membership]]),Sheet2!$A$2:$A$7,Sheet2!$B$2:$B$7,"Checkmanually")</f>
        <v>Bronze</v>
      </c>
      <c r="L625" s="3">
        <v>43695</v>
      </c>
    </row>
    <row r="626" spans="1:12" x14ac:dyDescent="0.25">
      <c r="A626" s="2" t="s">
        <v>2561</v>
      </c>
      <c r="B626" s="2" t="s">
        <v>2562</v>
      </c>
      <c r="C626" s="2" t="s">
        <v>33</v>
      </c>
      <c r="D626" s="3">
        <v>20447</v>
      </c>
      <c r="E626" s="2" t="s">
        <v>2563</v>
      </c>
      <c r="F626" s="2" t="s">
        <v>2564</v>
      </c>
      <c r="G626" s="2" t="s">
        <v>16</v>
      </c>
      <c r="H626" s="2" t="s">
        <v>17</v>
      </c>
      <c r="I626" s="2" t="s">
        <v>18</v>
      </c>
      <c r="J626" s="2" t="s">
        <v>25</v>
      </c>
      <c r="K626" s="2" t="str">
        <f>_xlfn.XLOOKUP(TRIM(Table1[[#This Row],[Membership]]),Sheet2!$A$2:$A$7,Sheet2!$B$2:$B$7,"Checkmanually")</f>
        <v>Silver</v>
      </c>
      <c r="L626" s="3">
        <v>46037</v>
      </c>
    </row>
    <row r="627" spans="1:12" x14ac:dyDescent="0.25">
      <c r="A627" s="2" t="s">
        <v>2565</v>
      </c>
      <c r="B627" s="2" t="s">
        <v>2566</v>
      </c>
      <c r="C627" s="2" t="s">
        <v>13</v>
      </c>
      <c r="D627" s="3">
        <v>27713</v>
      </c>
      <c r="E627" s="2" t="s">
        <v>2567</v>
      </c>
      <c r="F627" s="2" t="s">
        <v>2568</v>
      </c>
      <c r="G627" s="2" t="s">
        <v>121</v>
      </c>
      <c r="H627" s="2" t="s">
        <v>122</v>
      </c>
      <c r="I627" s="2" t="s">
        <v>18</v>
      </c>
      <c r="J627" s="2" t="s">
        <v>19</v>
      </c>
      <c r="K627" s="2" t="str">
        <f>_xlfn.XLOOKUP(TRIM(Table1[[#This Row],[Membership]]),Sheet2!$A$2:$A$7,Sheet2!$B$2:$B$7,"Checkmanually")</f>
        <v>Bronze</v>
      </c>
      <c r="L627" s="3">
        <v>45401</v>
      </c>
    </row>
    <row r="628" spans="1:12" x14ac:dyDescent="0.25">
      <c r="A628" s="2" t="s">
        <v>2569</v>
      </c>
      <c r="B628" s="2" t="s">
        <v>2570</v>
      </c>
      <c r="C628" s="2" t="s">
        <v>13</v>
      </c>
      <c r="D628" s="3">
        <v>27215</v>
      </c>
      <c r="E628" s="2" t="s">
        <v>2571</v>
      </c>
      <c r="F628" s="2" t="s">
        <v>2572</v>
      </c>
      <c r="G628" s="2" t="s">
        <v>121</v>
      </c>
      <c r="H628" s="2" t="s">
        <v>122</v>
      </c>
      <c r="I628" s="2" t="s">
        <v>18</v>
      </c>
      <c r="J628" s="2" t="s">
        <v>25</v>
      </c>
      <c r="K628" s="2" t="str">
        <f>_xlfn.XLOOKUP(TRIM(Table1[[#This Row],[Membership]]),Sheet2!$A$2:$A$7,Sheet2!$B$2:$B$7,"Checkmanually")</f>
        <v>Silver</v>
      </c>
      <c r="L628" s="3">
        <v>43522</v>
      </c>
    </row>
    <row r="629" spans="1:12" x14ac:dyDescent="0.25">
      <c r="A629" s="2" t="s">
        <v>2573</v>
      </c>
      <c r="B629" s="2" t="s">
        <v>2574</v>
      </c>
      <c r="C629" s="2" t="s">
        <v>13</v>
      </c>
      <c r="D629" s="3">
        <v>22541</v>
      </c>
      <c r="E629" s="2" t="s">
        <v>2575</v>
      </c>
      <c r="F629" s="2" t="s">
        <v>2576</v>
      </c>
      <c r="G629" s="2" t="s">
        <v>121</v>
      </c>
      <c r="H629" s="2" t="s">
        <v>122</v>
      </c>
      <c r="I629" s="2" t="s">
        <v>18</v>
      </c>
      <c r="J629" s="2" t="s">
        <v>19</v>
      </c>
      <c r="K629" s="2" t="str">
        <f>_xlfn.XLOOKUP(TRIM(Table1[[#This Row],[Membership]]),Sheet2!$A$2:$A$7,Sheet2!$B$2:$B$7,"Checkmanually")</f>
        <v>Bronze</v>
      </c>
      <c r="L629" s="3">
        <v>45451</v>
      </c>
    </row>
    <row r="630" spans="1:12" x14ac:dyDescent="0.25">
      <c r="A630" s="2" t="s">
        <v>2577</v>
      </c>
      <c r="B630" s="2" t="s">
        <v>2578</v>
      </c>
      <c r="C630" s="2" t="s">
        <v>33</v>
      </c>
      <c r="D630" s="3">
        <v>30579</v>
      </c>
      <c r="E630" s="2" t="s">
        <v>2579</v>
      </c>
      <c r="F630" s="2" t="s">
        <v>2580</v>
      </c>
      <c r="G630" s="2" t="s">
        <v>131</v>
      </c>
      <c r="H630" s="2" t="s">
        <v>91</v>
      </c>
      <c r="I630" s="2" t="s">
        <v>18</v>
      </c>
      <c r="J630" s="2" t="s">
        <v>25</v>
      </c>
      <c r="K630" s="2" t="str">
        <f>_xlfn.XLOOKUP(TRIM(Table1[[#This Row],[Membership]]),Sheet2!$A$2:$A$7,Sheet2!$B$2:$B$7,"Checkmanually")</f>
        <v>Silver</v>
      </c>
      <c r="L630" s="3">
        <v>43912</v>
      </c>
    </row>
    <row r="631" spans="1:12" x14ac:dyDescent="0.25">
      <c r="A631" s="2" t="s">
        <v>2581</v>
      </c>
      <c r="B631" s="2" t="s">
        <v>2582</v>
      </c>
      <c r="C631" s="2" t="s">
        <v>13</v>
      </c>
      <c r="D631" s="3">
        <v>29082</v>
      </c>
      <c r="E631" s="2" t="s">
        <v>2583</v>
      </c>
      <c r="F631" s="2" t="s">
        <v>2584</v>
      </c>
      <c r="G631" s="2" t="s">
        <v>90</v>
      </c>
      <c r="H631" s="2" t="s">
        <v>91</v>
      </c>
      <c r="I631" s="2" t="s">
        <v>18</v>
      </c>
      <c r="J631" s="2" t="s">
        <v>25</v>
      </c>
      <c r="K631" s="2" t="str">
        <f>_xlfn.XLOOKUP(TRIM(Table1[[#This Row],[Membership]]),Sheet2!$A$2:$A$7,Sheet2!$B$2:$B$7,"Checkmanually")</f>
        <v>Silver</v>
      </c>
      <c r="L631" s="3">
        <v>44826</v>
      </c>
    </row>
    <row r="632" spans="1:12" x14ac:dyDescent="0.25">
      <c r="A632" s="2" t="s">
        <v>2585</v>
      </c>
      <c r="B632" s="2" t="s">
        <v>2586</v>
      </c>
      <c r="C632" s="2" t="s">
        <v>33</v>
      </c>
      <c r="D632" s="3">
        <v>32635</v>
      </c>
      <c r="E632" s="2" t="s">
        <v>2587</v>
      </c>
      <c r="F632" s="2" t="s">
        <v>2588</v>
      </c>
      <c r="G632" s="2" t="s">
        <v>228</v>
      </c>
      <c r="H632" s="2" t="s">
        <v>17</v>
      </c>
      <c r="I632" s="2" t="s">
        <v>18</v>
      </c>
      <c r="J632" s="2" t="s">
        <v>19</v>
      </c>
      <c r="K632" s="2" t="str">
        <f>_xlfn.XLOOKUP(TRIM(Table1[[#This Row],[Membership]]),Sheet2!$A$2:$A$7,Sheet2!$B$2:$B$7,"Checkmanually")</f>
        <v>Bronze</v>
      </c>
      <c r="L632" s="3">
        <v>44069</v>
      </c>
    </row>
    <row r="633" spans="1:12" x14ac:dyDescent="0.25">
      <c r="A633" s="2" t="s">
        <v>2589</v>
      </c>
      <c r="B633" s="2" t="s">
        <v>2590</v>
      </c>
      <c r="C633" s="2" t="s">
        <v>33</v>
      </c>
      <c r="D633" s="3">
        <v>38956</v>
      </c>
      <c r="E633" s="2" t="s">
        <v>2591</v>
      </c>
      <c r="F633" s="2" t="s">
        <v>2592</v>
      </c>
      <c r="G633" s="2" t="s">
        <v>16</v>
      </c>
      <c r="H633" s="2" t="s">
        <v>17</v>
      </c>
      <c r="I633" s="2" t="s">
        <v>18</v>
      </c>
      <c r="J633" s="2" t="s">
        <v>19</v>
      </c>
      <c r="K633" s="2" t="str">
        <f>_xlfn.XLOOKUP(TRIM(Table1[[#This Row],[Membership]]),Sheet2!$A$2:$A$7,Sheet2!$B$2:$B$7,"Checkmanually")</f>
        <v>Bronze</v>
      </c>
      <c r="L633" s="3">
        <v>43120</v>
      </c>
    </row>
    <row r="634" spans="1:12" x14ac:dyDescent="0.25">
      <c r="A634" s="2" t="s">
        <v>2593</v>
      </c>
      <c r="B634" s="2" t="s">
        <v>2594</v>
      </c>
      <c r="C634" s="2" t="s">
        <v>13</v>
      </c>
      <c r="D634" s="3">
        <v>37570</v>
      </c>
      <c r="E634" s="2" t="s">
        <v>2595</v>
      </c>
      <c r="F634" s="2" t="s">
        <v>2596</v>
      </c>
      <c r="G634" s="2" t="s">
        <v>131</v>
      </c>
      <c r="H634" s="2" t="s">
        <v>91</v>
      </c>
      <c r="I634" s="2" t="s">
        <v>18</v>
      </c>
      <c r="J634" s="2" t="s">
        <v>183</v>
      </c>
      <c r="K634" s="2" t="str">
        <f>_xlfn.XLOOKUP(TRIM(Table1[[#This Row],[Membership]]),Sheet2!$A$2:$A$7,Sheet2!$B$2:$B$7,"Checkmanually")</f>
        <v>Gold</v>
      </c>
      <c r="L634" s="3">
        <v>45261</v>
      </c>
    </row>
    <row r="635" spans="1:12" x14ac:dyDescent="0.25">
      <c r="A635" s="2" t="s">
        <v>2597</v>
      </c>
      <c r="B635" s="2" t="s">
        <v>2598</v>
      </c>
      <c r="C635" s="2" t="s">
        <v>2599</v>
      </c>
      <c r="D635" s="3">
        <v>23206</v>
      </c>
      <c r="E635" s="2" t="s">
        <v>2600</v>
      </c>
      <c r="F635" s="2" t="s">
        <v>2601</v>
      </c>
      <c r="G635" s="2" t="s">
        <v>16</v>
      </c>
      <c r="H635" s="2" t="s">
        <v>17</v>
      </c>
      <c r="I635" s="2" t="s">
        <v>18</v>
      </c>
      <c r="J635" s="2" t="s">
        <v>183</v>
      </c>
      <c r="K635" s="2" t="str">
        <f>_xlfn.XLOOKUP(TRIM(Table1[[#This Row],[Membership]]),Sheet2!$A$2:$A$7,Sheet2!$B$2:$B$7,"Checkmanually")</f>
        <v>Gold</v>
      </c>
      <c r="L635" s="3">
        <v>44801</v>
      </c>
    </row>
    <row r="636" spans="1:12" x14ac:dyDescent="0.25">
      <c r="A636" s="2" t="s">
        <v>2602</v>
      </c>
      <c r="B636" s="2" t="s">
        <v>2603</v>
      </c>
      <c r="C636" s="2" t="s">
        <v>13</v>
      </c>
      <c r="D636" s="3">
        <v>33208</v>
      </c>
      <c r="E636" s="2" t="s">
        <v>2604</v>
      </c>
      <c r="F636" s="2" t="s">
        <v>2605</v>
      </c>
      <c r="G636" s="2" t="s">
        <v>24</v>
      </c>
      <c r="H636" s="2" t="s">
        <v>17</v>
      </c>
      <c r="I636" s="2" t="s">
        <v>18</v>
      </c>
      <c r="J636" s="2" t="s">
        <v>2606</v>
      </c>
      <c r="K636" s="2" t="str">
        <f>_xlfn.XLOOKUP(TRIM(Table1[[#This Row],[Membership]]),Sheet2!$A$2:$A$7,Sheet2!$B$2:$B$7,"Checkmanually")</f>
        <v>Gold</v>
      </c>
      <c r="L636" s="3">
        <v>43427</v>
      </c>
    </row>
    <row r="637" spans="1:12" x14ac:dyDescent="0.25">
      <c r="A637" s="2" t="s">
        <v>2607</v>
      </c>
      <c r="B637" s="2" t="s">
        <v>2608</v>
      </c>
      <c r="C637" s="2" t="s">
        <v>33</v>
      </c>
      <c r="D637" s="3">
        <v>32978</v>
      </c>
      <c r="E637" s="2" t="s">
        <v>2609</v>
      </c>
      <c r="F637" s="2" t="s">
        <v>2610</v>
      </c>
      <c r="G637" s="2" t="s">
        <v>90</v>
      </c>
      <c r="H637" s="2" t="s">
        <v>91</v>
      </c>
      <c r="I637" s="2" t="s">
        <v>18</v>
      </c>
      <c r="J637" s="2" t="s">
        <v>19</v>
      </c>
      <c r="K637" s="2" t="str">
        <f>_xlfn.XLOOKUP(TRIM(Table1[[#This Row],[Membership]]),Sheet2!$A$2:$A$7,Sheet2!$B$2:$B$7,"Checkmanually")</f>
        <v>Bronze</v>
      </c>
      <c r="L637" s="3">
        <v>44323</v>
      </c>
    </row>
    <row r="638" spans="1:12" x14ac:dyDescent="0.25">
      <c r="A638" s="2" t="s">
        <v>2611</v>
      </c>
      <c r="B638" s="2" t="s">
        <v>2612</v>
      </c>
      <c r="C638" s="2" t="s">
        <v>13</v>
      </c>
      <c r="D638" s="3">
        <v>23456</v>
      </c>
      <c r="E638" s="2" t="s">
        <v>2613</v>
      </c>
      <c r="F638" s="2" t="s">
        <v>2614</v>
      </c>
      <c r="G638" s="2" t="s">
        <v>193</v>
      </c>
      <c r="H638" s="2" t="s">
        <v>193</v>
      </c>
      <c r="I638" s="2" t="s">
        <v>49</v>
      </c>
      <c r="J638" s="2" t="s">
        <v>19</v>
      </c>
      <c r="K638" s="2" t="str">
        <f>_xlfn.XLOOKUP(TRIM(Table1[[#This Row],[Membership]]),Sheet2!$A$2:$A$7,Sheet2!$B$2:$B$7,"Checkmanually")</f>
        <v>Bronze</v>
      </c>
      <c r="L638" s="3">
        <v>43220</v>
      </c>
    </row>
    <row r="639" spans="1:12" x14ac:dyDescent="0.25">
      <c r="A639" s="2" t="s">
        <v>2615</v>
      </c>
      <c r="B639" s="2" t="s">
        <v>2616</v>
      </c>
      <c r="C639" s="2" t="s">
        <v>33</v>
      </c>
      <c r="D639" s="3">
        <v>30669</v>
      </c>
      <c r="E639" s="2" t="s">
        <v>2617</v>
      </c>
      <c r="F639" s="2" t="s">
        <v>2618</v>
      </c>
      <c r="G639" s="2" t="s">
        <v>16</v>
      </c>
      <c r="H639" s="2" t="s">
        <v>17</v>
      </c>
      <c r="I639" s="2" t="s">
        <v>18</v>
      </c>
      <c r="J639" s="2" t="s">
        <v>183</v>
      </c>
      <c r="K639" s="2" t="str">
        <f>_xlfn.XLOOKUP(TRIM(Table1[[#This Row],[Membership]]),Sheet2!$A$2:$A$7,Sheet2!$B$2:$B$7,"Checkmanually")</f>
        <v>Gold</v>
      </c>
      <c r="L639" s="3">
        <v>45917</v>
      </c>
    </row>
    <row r="640" spans="1:12" x14ac:dyDescent="0.25">
      <c r="A640" s="2" t="s">
        <v>2619</v>
      </c>
      <c r="B640" s="2" t="s">
        <v>2620</v>
      </c>
      <c r="C640" s="2" t="s">
        <v>33</v>
      </c>
      <c r="D640" s="3">
        <v>32177</v>
      </c>
      <c r="E640" s="2" t="s">
        <v>2621</v>
      </c>
      <c r="F640" s="2" t="s">
        <v>2622</v>
      </c>
      <c r="G640" s="2" t="s">
        <v>228</v>
      </c>
      <c r="H640" s="2" t="s">
        <v>17</v>
      </c>
      <c r="I640" s="2" t="s">
        <v>18</v>
      </c>
      <c r="J640" s="2" t="s">
        <v>183</v>
      </c>
      <c r="K640" s="2" t="str">
        <f>_xlfn.XLOOKUP(TRIM(Table1[[#This Row],[Membership]]),Sheet2!$A$2:$A$7,Sheet2!$B$2:$B$7,"Checkmanually")</f>
        <v>Gold</v>
      </c>
      <c r="L640" s="3">
        <v>45302</v>
      </c>
    </row>
    <row r="641" spans="1:12" x14ac:dyDescent="0.25">
      <c r="A641" s="2" t="s">
        <v>2623</v>
      </c>
      <c r="B641" s="2" t="s">
        <v>2624</v>
      </c>
      <c r="C641" s="2" t="s">
        <v>33</v>
      </c>
      <c r="D641" s="3">
        <v>21501</v>
      </c>
      <c r="E641" s="2" t="s">
        <v>2625</v>
      </c>
      <c r="F641" s="2" t="s">
        <v>2626</v>
      </c>
      <c r="G641" s="2" t="s">
        <v>144</v>
      </c>
      <c r="H641" s="2" t="s">
        <v>145</v>
      </c>
      <c r="I641" s="2" t="s">
        <v>146</v>
      </c>
      <c r="J641" s="2" t="s">
        <v>19</v>
      </c>
      <c r="K641" s="2" t="str">
        <f>_xlfn.XLOOKUP(TRIM(Table1[[#This Row],[Membership]]),Sheet2!$A$2:$A$7,Sheet2!$B$2:$B$7,"Checkmanually")</f>
        <v>Bronze</v>
      </c>
      <c r="L641" s="3">
        <v>43554</v>
      </c>
    </row>
    <row r="642" spans="1:12" x14ac:dyDescent="0.25">
      <c r="A642" s="2" t="s">
        <v>2627</v>
      </c>
      <c r="B642" s="2" t="s">
        <v>2628</v>
      </c>
      <c r="C642" s="2" t="s">
        <v>13</v>
      </c>
      <c r="D642" s="3">
        <v>32527</v>
      </c>
      <c r="E642" s="2" t="s">
        <v>2629</v>
      </c>
      <c r="F642" s="2" t="s">
        <v>2630</v>
      </c>
      <c r="G642" s="2" t="s">
        <v>144</v>
      </c>
      <c r="H642" s="2" t="s">
        <v>145</v>
      </c>
      <c r="I642" s="2" t="s">
        <v>146</v>
      </c>
      <c r="J642" s="2" t="s">
        <v>25</v>
      </c>
      <c r="K642" s="2" t="str">
        <f>_xlfn.XLOOKUP(TRIM(Table1[[#This Row],[Membership]]),Sheet2!$A$2:$A$7,Sheet2!$B$2:$B$7,"Checkmanually")</f>
        <v>Silver</v>
      </c>
      <c r="L642" s="3">
        <v>44206</v>
      </c>
    </row>
    <row r="643" spans="1:12" x14ac:dyDescent="0.25">
      <c r="A643" s="2" t="s">
        <v>2631</v>
      </c>
      <c r="B643" s="2" t="s">
        <v>2632</v>
      </c>
      <c r="C643" s="2" t="s">
        <v>13</v>
      </c>
      <c r="D643" s="3">
        <v>24018</v>
      </c>
      <c r="E643" s="2" t="s">
        <v>2633</v>
      </c>
      <c r="F643" s="2" t="s">
        <v>2634</v>
      </c>
      <c r="G643" s="2" t="s">
        <v>228</v>
      </c>
      <c r="H643" s="2" t="s">
        <v>17</v>
      </c>
      <c r="I643" s="2" t="s">
        <v>18</v>
      </c>
      <c r="J643" s="2" t="s">
        <v>19</v>
      </c>
      <c r="K643" s="2" t="str">
        <f>_xlfn.XLOOKUP(TRIM(Table1[[#This Row],[Membership]]),Sheet2!$A$2:$A$7,Sheet2!$B$2:$B$7,"Checkmanually")</f>
        <v>Bronze</v>
      </c>
      <c r="L643" s="3">
        <v>43618</v>
      </c>
    </row>
    <row r="644" spans="1:12" x14ac:dyDescent="0.25">
      <c r="A644" s="2" t="s">
        <v>2635</v>
      </c>
      <c r="B644" s="2" t="s">
        <v>2636</v>
      </c>
      <c r="C644" s="2" t="s">
        <v>33</v>
      </c>
      <c r="D644" s="3">
        <v>24099</v>
      </c>
      <c r="E644" s="2" t="s">
        <v>2637</v>
      </c>
      <c r="F644" s="2" t="s">
        <v>2638</v>
      </c>
      <c r="G644" s="2" t="s">
        <v>40</v>
      </c>
      <c r="H644" s="2" t="s">
        <v>41</v>
      </c>
      <c r="I644" s="2" t="s">
        <v>42</v>
      </c>
      <c r="J644" s="2" t="s">
        <v>19</v>
      </c>
      <c r="K644" s="2" t="str">
        <f>_xlfn.XLOOKUP(TRIM(Table1[[#This Row],[Membership]]),Sheet2!$A$2:$A$7,Sheet2!$B$2:$B$7,"Checkmanually")</f>
        <v>Bronze</v>
      </c>
      <c r="L644" s="3">
        <v>45238</v>
      </c>
    </row>
    <row r="645" spans="1:12" x14ac:dyDescent="0.25">
      <c r="A645" s="2" t="s">
        <v>2639</v>
      </c>
      <c r="B645" s="2" t="s">
        <v>2640</v>
      </c>
      <c r="C645" s="2" t="s">
        <v>33</v>
      </c>
      <c r="D645" s="3">
        <v>29282</v>
      </c>
      <c r="E645" s="2" t="s">
        <v>2641</v>
      </c>
      <c r="F645" s="2" t="s">
        <v>2642</v>
      </c>
      <c r="G645" s="2" t="s">
        <v>90</v>
      </c>
      <c r="H645" s="2" t="s">
        <v>91</v>
      </c>
      <c r="I645" s="2" t="s">
        <v>18</v>
      </c>
      <c r="J645" s="2" t="s">
        <v>19</v>
      </c>
      <c r="K645" s="2" t="str">
        <f>_xlfn.XLOOKUP(TRIM(Table1[[#This Row],[Membership]]),Sheet2!$A$2:$A$7,Sheet2!$B$2:$B$7,"Checkmanually")</f>
        <v>Bronze</v>
      </c>
      <c r="L645" s="3">
        <v>44419</v>
      </c>
    </row>
    <row r="646" spans="1:12" x14ac:dyDescent="0.25">
      <c r="A646" s="2" t="s">
        <v>2643</v>
      </c>
      <c r="B646" s="2" t="s">
        <v>2644</v>
      </c>
      <c r="C646" s="2" t="s">
        <v>13</v>
      </c>
      <c r="D646" s="3">
        <v>29797</v>
      </c>
      <c r="E646" s="2" t="s">
        <v>2645</v>
      </c>
      <c r="F646" s="2" t="s">
        <v>2646</v>
      </c>
      <c r="G646" s="2" t="s">
        <v>54</v>
      </c>
      <c r="H646" s="2" t="s">
        <v>17</v>
      </c>
      <c r="I646" s="2" t="s">
        <v>18</v>
      </c>
      <c r="J646" s="2" t="s">
        <v>183</v>
      </c>
      <c r="K646" s="2" t="str">
        <f>_xlfn.XLOOKUP(TRIM(Table1[[#This Row],[Membership]]),Sheet2!$A$2:$A$7,Sheet2!$B$2:$B$7,"Checkmanually")</f>
        <v>Gold</v>
      </c>
      <c r="L646" s="3">
        <v>46014</v>
      </c>
    </row>
    <row r="647" spans="1:12" x14ac:dyDescent="0.25">
      <c r="A647" s="2" t="s">
        <v>2647</v>
      </c>
      <c r="B647" s="2" t="s">
        <v>2648</v>
      </c>
      <c r="C647" s="2" t="s">
        <v>33</v>
      </c>
      <c r="D647" s="3">
        <v>26836</v>
      </c>
      <c r="E647" s="2" t="s">
        <v>2649</v>
      </c>
      <c r="F647" s="2" t="s">
        <v>2650</v>
      </c>
      <c r="G647" s="2" t="s">
        <v>54</v>
      </c>
      <c r="H647" s="2" t="s">
        <v>17</v>
      </c>
      <c r="I647" s="2" t="s">
        <v>18</v>
      </c>
      <c r="J647" s="2" t="s">
        <v>19</v>
      </c>
      <c r="K647" s="2" t="str">
        <f>_xlfn.XLOOKUP(TRIM(Table1[[#This Row],[Membership]]),Sheet2!$A$2:$A$7,Sheet2!$B$2:$B$7,"Checkmanually")</f>
        <v>Bronze</v>
      </c>
      <c r="L647" s="3">
        <v>45947</v>
      </c>
    </row>
    <row r="648" spans="1:12" x14ac:dyDescent="0.25">
      <c r="A648" s="2" t="s">
        <v>2651</v>
      </c>
      <c r="B648" s="2" t="s">
        <v>2652</v>
      </c>
      <c r="C648" s="2" t="s">
        <v>13</v>
      </c>
      <c r="D648" s="3">
        <v>20520</v>
      </c>
      <c r="E648" s="2" t="s">
        <v>2653</v>
      </c>
      <c r="F648" s="2" t="s">
        <v>2654</v>
      </c>
      <c r="G648" s="2" t="s">
        <v>90</v>
      </c>
      <c r="H648" s="2" t="s">
        <v>91</v>
      </c>
      <c r="I648" s="2" t="s">
        <v>18</v>
      </c>
      <c r="J648" s="2" t="s">
        <v>183</v>
      </c>
      <c r="K648" s="2" t="str">
        <f>_xlfn.XLOOKUP(TRIM(Table1[[#This Row],[Membership]]),Sheet2!$A$2:$A$7,Sheet2!$B$2:$B$7,"Checkmanually")</f>
        <v>Gold</v>
      </c>
      <c r="L648" s="3">
        <v>45847</v>
      </c>
    </row>
    <row r="649" spans="1:12" x14ac:dyDescent="0.25">
      <c r="A649" s="2" t="s">
        <v>2655</v>
      </c>
      <c r="B649" s="2" t="s">
        <v>2656</v>
      </c>
      <c r="C649" s="2" t="s">
        <v>33</v>
      </c>
      <c r="D649" s="3">
        <v>23515</v>
      </c>
      <c r="E649" s="2" t="s">
        <v>2657</v>
      </c>
      <c r="F649" s="2" t="s">
        <v>2658</v>
      </c>
      <c r="G649" s="2" t="s">
        <v>131</v>
      </c>
      <c r="H649" s="2" t="s">
        <v>91</v>
      </c>
      <c r="I649" s="2" t="s">
        <v>18</v>
      </c>
      <c r="J649" s="2" t="s">
        <v>183</v>
      </c>
      <c r="K649" s="2" t="str">
        <f>_xlfn.XLOOKUP(TRIM(Table1[[#This Row],[Membership]]),Sheet2!$A$2:$A$7,Sheet2!$B$2:$B$7,"Checkmanually")</f>
        <v>Gold</v>
      </c>
      <c r="L649" s="3">
        <v>44495</v>
      </c>
    </row>
    <row r="650" spans="1:12" x14ac:dyDescent="0.25">
      <c r="A650" s="2" t="s">
        <v>2659</v>
      </c>
      <c r="B650" s="2" t="s">
        <v>2660</v>
      </c>
      <c r="C650" s="2" t="s">
        <v>13</v>
      </c>
      <c r="D650" s="3">
        <v>30358</v>
      </c>
      <c r="E650" s="2" t="s">
        <v>2661</v>
      </c>
      <c r="F650" s="2" t="s">
        <v>2662</v>
      </c>
      <c r="G650" s="2" t="s">
        <v>84</v>
      </c>
      <c r="H650" s="2" t="s">
        <v>85</v>
      </c>
      <c r="I650" s="2" t="s">
        <v>18</v>
      </c>
      <c r="J650" s="2" t="s">
        <v>25</v>
      </c>
      <c r="K650" s="2" t="str">
        <f>_xlfn.XLOOKUP(TRIM(Table1[[#This Row],[Membership]]),Sheet2!$A$2:$A$7,Sheet2!$B$2:$B$7,"Checkmanually")</f>
        <v>Silver</v>
      </c>
      <c r="L650" s="3">
        <v>44378</v>
      </c>
    </row>
    <row r="651" spans="1:12" x14ac:dyDescent="0.25">
      <c r="A651" s="2" t="s">
        <v>2663</v>
      </c>
      <c r="B651" s="2" t="s">
        <v>2664</v>
      </c>
      <c r="C651" s="2" t="s">
        <v>33</v>
      </c>
      <c r="D651" s="3">
        <v>23552</v>
      </c>
      <c r="E651" s="2" t="s">
        <v>2665</v>
      </c>
      <c r="F651" s="2" t="s">
        <v>2666</v>
      </c>
      <c r="G651" s="2" t="s">
        <v>228</v>
      </c>
      <c r="H651" s="2" t="s">
        <v>17</v>
      </c>
      <c r="I651" s="2" t="s">
        <v>18</v>
      </c>
      <c r="J651" s="2" t="s">
        <v>19</v>
      </c>
      <c r="K651" s="2" t="str">
        <f>_xlfn.XLOOKUP(TRIM(Table1[[#This Row],[Membership]]),Sheet2!$A$2:$A$7,Sheet2!$B$2:$B$7,"Checkmanually")</f>
        <v>Bronze</v>
      </c>
      <c r="L651" s="3">
        <v>43633</v>
      </c>
    </row>
    <row r="652" spans="1:12" x14ac:dyDescent="0.25">
      <c r="A652" s="2" t="s">
        <v>2667</v>
      </c>
      <c r="B652" s="2" t="s">
        <v>2668</v>
      </c>
      <c r="C652" s="2" t="s">
        <v>33</v>
      </c>
      <c r="D652" s="3">
        <v>36915</v>
      </c>
      <c r="E652" s="2" t="s">
        <v>2669</v>
      </c>
      <c r="F652" s="2" t="s">
        <v>2670</v>
      </c>
      <c r="G652" s="2" t="s">
        <v>509</v>
      </c>
      <c r="H652" s="2" t="s">
        <v>510</v>
      </c>
      <c r="I652" s="2" t="s">
        <v>49</v>
      </c>
      <c r="J652" s="2" t="s">
        <v>19</v>
      </c>
      <c r="K652" s="2" t="str">
        <f>_xlfn.XLOOKUP(TRIM(Table1[[#This Row],[Membership]]),Sheet2!$A$2:$A$7,Sheet2!$B$2:$B$7,"Checkmanually")</f>
        <v>Bronze</v>
      </c>
      <c r="L652" s="3">
        <v>43932</v>
      </c>
    </row>
    <row r="653" spans="1:12" x14ac:dyDescent="0.25">
      <c r="A653" s="2" t="s">
        <v>2671</v>
      </c>
      <c r="B653" s="2" t="s">
        <v>2672</v>
      </c>
      <c r="C653" s="2" t="s">
        <v>2673</v>
      </c>
      <c r="D653" s="3">
        <v>25470</v>
      </c>
      <c r="E653" s="2" t="s">
        <v>2674</v>
      </c>
      <c r="F653" s="2" t="s">
        <v>2675</v>
      </c>
      <c r="G653" s="2" t="s">
        <v>63</v>
      </c>
      <c r="H653" s="2" t="s">
        <v>17</v>
      </c>
      <c r="I653" s="2" t="s">
        <v>18</v>
      </c>
      <c r="J653" s="2" t="s">
        <v>25</v>
      </c>
      <c r="K653" s="2" t="str">
        <f>_xlfn.XLOOKUP(TRIM(Table1[[#This Row],[Membership]]),Sheet2!$A$2:$A$7,Sheet2!$B$2:$B$7,"Checkmanually")</f>
        <v>Silver</v>
      </c>
      <c r="L653" s="3">
        <v>45911</v>
      </c>
    </row>
    <row r="654" spans="1:12" x14ac:dyDescent="0.25">
      <c r="A654" s="2" t="s">
        <v>2676</v>
      </c>
      <c r="B654" s="2" t="s">
        <v>2677</v>
      </c>
      <c r="C654" s="2" t="s">
        <v>13</v>
      </c>
      <c r="D654" s="3">
        <v>23601</v>
      </c>
      <c r="E654" s="2" t="s">
        <v>2678</v>
      </c>
      <c r="F654" s="2" t="s">
        <v>2679</v>
      </c>
      <c r="G654" s="2" t="s">
        <v>104</v>
      </c>
      <c r="H654" s="2" t="s">
        <v>105</v>
      </c>
      <c r="I654" s="2" t="s">
        <v>42</v>
      </c>
      <c r="J654" s="2" t="s">
        <v>183</v>
      </c>
      <c r="K654" s="2" t="str">
        <f>_xlfn.XLOOKUP(TRIM(Table1[[#This Row],[Membership]]),Sheet2!$A$2:$A$7,Sheet2!$B$2:$B$7,"Checkmanually")</f>
        <v>Gold</v>
      </c>
      <c r="L654" s="3">
        <v>43552</v>
      </c>
    </row>
    <row r="655" spans="1:12" x14ac:dyDescent="0.25">
      <c r="A655" s="2" t="s">
        <v>2680</v>
      </c>
      <c r="B655" s="2" t="s">
        <v>2681</v>
      </c>
      <c r="C655" s="2" t="s">
        <v>33</v>
      </c>
      <c r="D655" s="3">
        <v>21026</v>
      </c>
      <c r="E655" s="2" t="s">
        <v>2682</v>
      </c>
      <c r="F655" s="2" t="s">
        <v>2683</v>
      </c>
      <c r="G655" s="2" t="s">
        <v>90</v>
      </c>
      <c r="H655" s="2" t="s">
        <v>91</v>
      </c>
      <c r="I655" s="2" t="s">
        <v>18</v>
      </c>
      <c r="J655" s="2" t="s">
        <v>183</v>
      </c>
      <c r="K655" s="2" t="str">
        <f>_xlfn.XLOOKUP(TRIM(Table1[[#This Row],[Membership]]),Sheet2!$A$2:$A$7,Sheet2!$B$2:$B$7,"Checkmanually")</f>
        <v>Gold</v>
      </c>
      <c r="L655" s="3">
        <v>45051</v>
      </c>
    </row>
    <row r="656" spans="1:12" x14ac:dyDescent="0.25">
      <c r="A656" s="2" t="s">
        <v>2684</v>
      </c>
      <c r="B656" s="2" t="s">
        <v>2685</v>
      </c>
      <c r="C656" s="2" t="s">
        <v>13</v>
      </c>
      <c r="D656" s="3">
        <v>38122</v>
      </c>
      <c r="E656" s="2" t="s">
        <v>2686</v>
      </c>
      <c r="F656" s="2" t="s">
        <v>2687</v>
      </c>
      <c r="G656" s="2" t="s">
        <v>24</v>
      </c>
      <c r="H656" s="2" t="s">
        <v>17</v>
      </c>
      <c r="I656" s="2" t="s">
        <v>18</v>
      </c>
      <c r="J656" s="2" t="s">
        <v>25</v>
      </c>
      <c r="K656" s="2" t="str">
        <f>_xlfn.XLOOKUP(TRIM(Table1[[#This Row],[Membership]]),Sheet2!$A$2:$A$7,Sheet2!$B$2:$B$7,"Checkmanually")</f>
        <v>Silver</v>
      </c>
      <c r="L656" s="3">
        <v>43445</v>
      </c>
    </row>
    <row r="657" spans="1:12" x14ac:dyDescent="0.25">
      <c r="A657" s="2" t="s">
        <v>2688</v>
      </c>
      <c r="B657" s="2" t="s">
        <v>2689</v>
      </c>
      <c r="C657" s="2" t="s">
        <v>13</v>
      </c>
      <c r="D657" s="3">
        <v>34208</v>
      </c>
      <c r="E657" s="2" t="s">
        <v>2690</v>
      </c>
      <c r="F657" s="2" t="s">
        <v>2691</v>
      </c>
      <c r="G657" s="2" t="s">
        <v>228</v>
      </c>
      <c r="H657" s="2" t="s">
        <v>17</v>
      </c>
      <c r="I657" s="2" t="s">
        <v>18</v>
      </c>
      <c r="J657" s="2" t="s">
        <v>25</v>
      </c>
      <c r="K657" s="2" t="str">
        <f>_xlfn.XLOOKUP(TRIM(Table1[[#This Row],[Membership]]),Sheet2!$A$2:$A$7,Sheet2!$B$2:$B$7,"Checkmanually")</f>
        <v>Silver</v>
      </c>
      <c r="L657" s="3">
        <v>45181</v>
      </c>
    </row>
    <row r="658" spans="1:12" x14ac:dyDescent="0.25">
      <c r="A658" s="2" t="s">
        <v>2692</v>
      </c>
      <c r="B658" s="2" t="s">
        <v>2693</v>
      </c>
      <c r="C658" s="2" t="s">
        <v>13</v>
      </c>
      <c r="D658" s="3">
        <v>21700</v>
      </c>
      <c r="E658" s="2" t="s">
        <v>2694</v>
      </c>
      <c r="F658" s="2" t="s">
        <v>2695</v>
      </c>
      <c r="G658" s="2" t="s">
        <v>30</v>
      </c>
      <c r="H658" s="2" t="s">
        <v>17</v>
      </c>
      <c r="I658" s="2" t="s">
        <v>18</v>
      </c>
      <c r="J658" s="2" t="s">
        <v>25</v>
      </c>
      <c r="K658" s="2" t="str">
        <f>_xlfn.XLOOKUP(TRIM(Table1[[#This Row],[Membership]]),Sheet2!$A$2:$A$7,Sheet2!$B$2:$B$7,"Checkmanually")</f>
        <v>Silver</v>
      </c>
      <c r="L658" s="3">
        <v>45757</v>
      </c>
    </row>
    <row r="659" spans="1:12" x14ac:dyDescent="0.25">
      <c r="A659" s="2" t="s">
        <v>2696</v>
      </c>
      <c r="B659" s="2" t="s">
        <v>2697</v>
      </c>
      <c r="C659" s="2" t="s">
        <v>2698</v>
      </c>
      <c r="D659" s="3">
        <v>26297</v>
      </c>
      <c r="E659" s="2" t="s">
        <v>2699</v>
      </c>
      <c r="F659" s="2" t="s">
        <v>2700</v>
      </c>
      <c r="G659" s="2" t="s">
        <v>131</v>
      </c>
      <c r="H659" s="2" t="s">
        <v>91</v>
      </c>
      <c r="I659" s="2" t="s">
        <v>18</v>
      </c>
      <c r="J659" s="2" t="s">
        <v>183</v>
      </c>
      <c r="K659" s="2" t="str">
        <f>_xlfn.XLOOKUP(TRIM(Table1[[#This Row],[Membership]]),Sheet2!$A$2:$A$7,Sheet2!$B$2:$B$7,"Checkmanually")</f>
        <v>Gold</v>
      </c>
      <c r="L659" s="3">
        <v>44750</v>
      </c>
    </row>
    <row r="660" spans="1:12" x14ac:dyDescent="0.25">
      <c r="A660" s="2" t="s">
        <v>2701</v>
      </c>
      <c r="B660" s="2" t="s">
        <v>2869</v>
      </c>
      <c r="C660" s="2" t="s">
        <v>33</v>
      </c>
      <c r="D660" s="3">
        <v>37084</v>
      </c>
      <c r="E660" s="2" t="s">
        <v>2702</v>
      </c>
      <c r="F660" s="2" t="s">
        <v>2703</v>
      </c>
      <c r="G660" s="2" t="s">
        <v>84</v>
      </c>
      <c r="H660" s="2" t="s">
        <v>85</v>
      </c>
      <c r="I660" s="2" t="s">
        <v>18</v>
      </c>
      <c r="J660" s="2" t="s">
        <v>19</v>
      </c>
      <c r="K660" s="2" t="str">
        <f>_xlfn.XLOOKUP(TRIM(Table1[[#This Row],[Membership]]),Sheet2!$A$2:$A$7,Sheet2!$B$2:$B$7,"Checkmanually")</f>
        <v>Bronze</v>
      </c>
      <c r="L660" s="3">
        <v>44876</v>
      </c>
    </row>
    <row r="661" spans="1:12" x14ac:dyDescent="0.25">
      <c r="A661" s="2" t="s">
        <v>2704</v>
      </c>
      <c r="B661" s="2" t="s">
        <v>2705</v>
      </c>
      <c r="C661" s="2" t="s">
        <v>33</v>
      </c>
      <c r="D661" s="3">
        <v>27285</v>
      </c>
      <c r="E661" s="2" t="s">
        <v>2706</v>
      </c>
      <c r="F661" s="2" t="s">
        <v>2707</v>
      </c>
      <c r="G661" s="2" t="s">
        <v>54</v>
      </c>
      <c r="H661" s="2" t="s">
        <v>17</v>
      </c>
      <c r="I661" s="2" t="s">
        <v>18</v>
      </c>
      <c r="J661" s="2" t="s">
        <v>19</v>
      </c>
      <c r="K661" s="2" t="str">
        <f>_xlfn.XLOOKUP(TRIM(Table1[[#This Row],[Membership]]),Sheet2!$A$2:$A$7,Sheet2!$B$2:$B$7,"Checkmanually")</f>
        <v>Bronze</v>
      </c>
      <c r="L661" s="3">
        <v>43572</v>
      </c>
    </row>
    <row r="662" spans="1:12" x14ac:dyDescent="0.25">
      <c r="A662" s="2" t="s">
        <v>2708</v>
      </c>
      <c r="B662" s="2" t="s">
        <v>2709</v>
      </c>
      <c r="C662" s="2" t="s">
        <v>33</v>
      </c>
      <c r="D662" s="3">
        <v>37526</v>
      </c>
      <c r="E662" s="2" t="s">
        <v>2710</v>
      </c>
      <c r="F662" s="2" t="s">
        <v>2711</v>
      </c>
      <c r="G662" s="2" t="s">
        <v>1965</v>
      </c>
      <c r="H662" s="2" t="s">
        <v>1966</v>
      </c>
      <c r="I662" s="2" t="s">
        <v>42</v>
      </c>
      <c r="J662" s="2" t="s">
        <v>25</v>
      </c>
      <c r="K662" s="2" t="str">
        <f>_xlfn.XLOOKUP(TRIM(Table1[[#This Row],[Membership]]),Sheet2!$A$2:$A$7,Sheet2!$B$2:$B$7,"Checkmanually")</f>
        <v>Silver</v>
      </c>
      <c r="L662" s="3">
        <v>43514</v>
      </c>
    </row>
    <row r="663" spans="1:12" x14ac:dyDescent="0.25">
      <c r="A663" s="2" t="s">
        <v>2712</v>
      </c>
      <c r="B663" s="2" t="s">
        <v>2713</v>
      </c>
      <c r="C663" s="2" t="s">
        <v>33</v>
      </c>
      <c r="D663" s="3">
        <v>33346</v>
      </c>
      <c r="E663" s="2" t="s">
        <v>2714</v>
      </c>
      <c r="F663" s="2" t="s">
        <v>2715</v>
      </c>
      <c r="G663" s="2" t="s">
        <v>121</v>
      </c>
      <c r="H663" s="2" t="s">
        <v>122</v>
      </c>
      <c r="I663" s="2" t="s">
        <v>18</v>
      </c>
      <c r="J663" s="2" t="s">
        <v>19</v>
      </c>
      <c r="K663" s="2" t="str">
        <f>_xlfn.XLOOKUP(TRIM(Table1[[#This Row],[Membership]]),Sheet2!$A$2:$A$7,Sheet2!$B$2:$B$7,"Checkmanually")</f>
        <v>Bronze</v>
      </c>
      <c r="L663" s="3">
        <v>44706</v>
      </c>
    </row>
    <row r="664" spans="1:12" x14ac:dyDescent="0.25">
      <c r="A664" s="2" t="s">
        <v>2716</v>
      </c>
      <c r="B664" s="2" t="s">
        <v>2717</v>
      </c>
      <c r="C664" s="2" t="s">
        <v>33</v>
      </c>
      <c r="D664" s="3">
        <v>25694</v>
      </c>
      <c r="E664" s="2" t="s">
        <v>2718</v>
      </c>
      <c r="F664" s="2" t="s">
        <v>2719</v>
      </c>
      <c r="G664" s="2" t="s">
        <v>30</v>
      </c>
      <c r="H664" s="2" t="s">
        <v>17</v>
      </c>
      <c r="I664" s="2" t="s">
        <v>18</v>
      </c>
      <c r="J664" s="2" t="s">
        <v>25</v>
      </c>
      <c r="K664" s="2" t="str">
        <f>_xlfn.XLOOKUP(TRIM(Table1[[#This Row],[Membership]]),Sheet2!$A$2:$A$7,Sheet2!$B$2:$B$7,"Checkmanually")</f>
        <v>Silver</v>
      </c>
      <c r="L664" s="3">
        <v>43934</v>
      </c>
    </row>
    <row r="665" spans="1:12" x14ac:dyDescent="0.25">
      <c r="A665" s="2" t="s">
        <v>2720</v>
      </c>
      <c r="B665" s="2" t="s">
        <v>2721</v>
      </c>
      <c r="C665" s="2" t="s">
        <v>33</v>
      </c>
      <c r="D665" s="3">
        <v>20191</v>
      </c>
      <c r="E665" s="2" t="s">
        <v>2722</v>
      </c>
      <c r="F665" s="2" t="s">
        <v>2723</v>
      </c>
      <c r="G665" s="2" t="s">
        <v>121</v>
      </c>
      <c r="H665" s="2" t="s">
        <v>122</v>
      </c>
      <c r="I665" s="2" t="s">
        <v>18</v>
      </c>
      <c r="J665" s="2" t="s">
        <v>25</v>
      </c>
      <c r="K665" s="2" t="str">
        <f>_xlfn.XLOOKUP(TRIM(Table1[[#This Row],[Membership]]),Sheet2!$A$2:$A$7,Sheet2!$B$2:$B$7,"Checkmanually")</f>
        <v>Silver</v>
      </c>
      <c r="L665" s="3">
        <v>43487</v>
      </c>
    </row>
    <row r="666" spans="1:12" x14ac:dyDescent="0.25">
      <c r="A666" s="2" t="s">
        <v>2724</v>
      </c>
      <c r="B666" s="2" t="s">
        <v>2725</v>
      </c>
      <c r="C666" s="2" t="s">
        <v>33</v>
      </c>
      <c r="D666" s="3">
        <v>30094</v>
      </c>
      <c r="E666" s="2" t="s">
        <v>2726</v>
      </c>
      <c r="F666" s="2" t="s">
        <v>2727</v>
      </c>
      <c r="G666" s="2" t="s">
        <v>121</v>
      </c>
      <c r="H666" s="2" t="s">
        <v>122</v>
      </c>
      <c r="I666" s="2" t="s">
        <v>18</v>
      </c>
      <c r="J666" s="2" t="s">
        <v>25</v>
      </c>
      <c r="K666" s="2" t="str">
        <f>_xlfn.XLOOKUP(TRIM(Table1[[#This Row],[Membership]]),Sheet2!$A$2:$A$7,Sheet2!$B$2:$B$7,"Checkmanually")</f>
        <v>Silver</v>
      </c>
      <c r="L666" s="3">
        <v>45918</v>
      </c>
    </row>
    <row r="667" spans="1:12" x14ac:dyDescent="0.25">
      <c r="A667" s="2" t="s">
        <v>2728</v>
      </c>
      <c r="B667" s="2" t="s">
        <v>2729</v>
      </c>
      <c r="C667" s="2" t="s">
        <v>33</v>
      </c>
      <c r="D667" s="3">
        <v>30974</v>
      </c>
      <c r="E667" s="2" t="s">
        <v>2730</v>
      </c>
      <c r="F667" s="2" t="s">
        <v>2731</v>
      </c>
      <c r="G667" s="2" t="s">
        <v>63</v>
      </c>
      <c r="H667" s="2" t="s">
        <v>17</v>
      </c>
      <c r="I667" s="2" t="s">
        <v>18</v>
      </c>
      <c r="J667" s="2" t="s">
        <v>183</v>
      </c>
      <c r="K667" s="2" t="str">
        <f>_xlfn.XLOOKUP(TRIM(Table1[[#This Row],[Membership]]),Sheet2!$A$2:$A$7,Sheet2!$B$2:$B$7,"Checkmanually")</f>
        <v>Gold</v>
      </c>
      <c r="L667" s="3">
        <v>44965</v>
      </c>
    </row>
    <row r="668" spans="1:12" x14ac:dyDescent="0.25">
      <c r="A668" s="2" t="s">
        <v>2732</v>
      </c>
      <c r="B668" s="2" t="s">
        <v>2733</v>
      </c>
      <c r="C668" s="2" t="s">
        <v>13</v>
      </c>
      <c r="D668" s="3">
        <v>20772</v>
      </c>
      <c r="E668" s="2" t="s">
        <v>2734</v>
      </c>
      <c r="F668" s="2" t="s">
        <v>2735</v>
      </c>
      <c r="G668" s="2" t="s">
        <v>40</v>
      </c>
      <c r="H668" s="2" t="s">
        <v>41</v>
      </c>
      <c r="I668" s="2" t="s">
        <v>42</v>
      </c>
      <c r="J668" s="2" t="s">
        <v>25</v>
      </c>
      <c r="K668" s="2" t="str">
        <f>_xlfn.XLOOKUP(TRIM(Table1[[#This Row],[Membership]]),Sheet2!$A$2:$A$7,Sheet2!$B$2:$B$7,"Checkmanually")</f>
        <v>Silver</v>
      </c>
      <c r="L668" s="3">
        <v>43828</v>
      </c>
    </row>
    <row r="669" spans="1:12" x14ac:dyDescent="0.25">
      <c r="A669" s="2" t="s">
        <v>2736</v>
      </c>
      <c r="B669" s="2" t="s">
        <v>2737</v>
      </c>
      <c r="C669" s="2" t="s">
        <v>33</v>
      </c>
      <c r="D669" s="3">
        <v>35616</v>
      </c>
      <c r="E669" s="2" t="s">
        <v>2738</v>
      </c>
      <c r="F669" s="2" t="s">
        <v>2739</v>
      </c>
      <c r="G669" s="2" t="s">
        <v>387</v>
      </c>
      <c r="H669" s="2" t="s">
        <v>388</v>
      </c>
      <c r="I669" s="2" t="s">
        <v>146</v>
      </c>
      <c r="J669" s="2" t="s">
        <v>19</v>
      </c>
      <c r="K669" s="2" t="str">
        <f>_xlfn.XLOOKUP(TRIM(Table1[[#This Row],[Membership]]),Sheet2!$A$2:$A$7,Sheet2!$B$2:$B$7,"Checkmanually")</f>
        <v>Bronze</v>
      </c>
      <c r="L669" s="3">
        <v>45489</v>
      </c>
    </row>
    <row r="670" spans="1:12" x14ac:dyDescent="0.25">
      <c r="A670" s="2" t="s">
        <v>2740</v>
      </c>
      <c r="B670" s="2" t="s">
        <v>2741</v>
      </c>
      <c r="C670" s="2" t="s">
        <v>33</v>
      </c>
      <c r="D670" s="3">
        <v>21570</v>
      </c>
      <c r="E670" s="2" t="s">
        <v>2742</v>
      </c>
      <c r="F670" s="2" t="s">
        <v>2743</v>
      </c>
      <c r="G670" s="2" t="s">
        <v>54</v>
      </c>
      <c r="H670" s="2" t="s">
        <v>17</v>
      </c>
      <c r="I670" s="2" t="s">
        <v>18</v>
      </c>
      <c r="J670" s="2" t="s">
        <v>25</v>
      </c>
      <c r="K670" s="2" t="str">
        <f>_xlfn.XLOOKUP(TRIM(Table1[[#This Row],[Membership]]),Sheet2!$A$2:$A$7,Sheet2!$B$2:$B$7,"Checkmanually")</f>
        <v>Silver</v>
      </c>
      <c r="L670" s="3">
        <v>43172</v>
      </c>
    </row>
    <row r="671" spans="1:12" x14ac:dyDescent="0.25">
      <c r="A671" s="2" t="s">
        <v>2744</v>
      </c>
      <c r="B671" s="2" t="s">
        <v>2745</v>
      </c>
      <c r="C671" s="2" t="s">
        <v>2746</v>
      </c>
      <c r="D671" s="3">
        <v>37302</v>
      </c>
      <c r="E671" s="2" t="s">
        <v>2747</v>
      </c>
      <c r="F671" s="2" t="s">
        <v>2748</v>
      </c>
      <c r="G671" s="2" t="s">
        <v>30</v>
      </c>
      <c r="H671" s="2" t="s">
        <v>17</v>
      </c>
      <c r="I671" s="2" t="s">
        <v>18</v>
      </c>
      <c r="J671" s="2" t="s">
        <v>19</v>
      </c>
      <c r="K671" s="2" t="str">
        <f>_xlfn.XLOOKUP(TRIM(Table1[[#This Row],[Membership]]),Sheet2!$A$2:$A$7,Sheet2!$B$2:$B$7,"Checkmanually")</f>
        <v>Bronze</v>
      </c>
      <c r="L671" s="3">
        <v>45161</v>
      </c>
    </row>
    <row r="672" spans="1:12" x14ac:dyDescent="0.25">
      <c r="A672" s="2" t="s">
        <v>2749</v>
      </c>
      <c r="B672" s="2" t="s">
        <v>2750</v>
      </c>
      <c r="C672" s="2" t="s">
        <v>33</v>
      </c>
      <c r="D672" s="3">
        <v>31089</v>
      </c>
      <c r="E672" s="2" t="s">
        <v>2751</v>
      </c>
      <c r="F672" s="2" t="s">
        <v>2752</v>
      </c>
      <c r="G672" s="2" t="s">
        <v>63</v>
      </c>
      <c r="H672" s="2" t="s">
        <v>17</v>
      </c>
      <c r="I672" s="2" t="s">
        <v>18</v>
      </c>
      <c r="J672" s="2" t="s">
        <v>183</v>
      </c>
      <c r="K672" s="2" t="str">
        <f>_xlfn.XLOOKUP(TRIM(Table1[[#This Row],[Membership]]),Sheet2!$A$2:$A$7,Sheet2!$B$2:$B$7,"Checkmanually")</f>
        <v>Gold</v>
      </c>
      <c r="L672" s="3">
        <v>44954</v>
      </c>
    </row>
    <row r="673" spans="1:12" x14ac:dyDescent="0.25">
      <c r="A673" s="2" t="s">
        <v>2753</v>
      </c>
      <c r="B673" s="2" t="s">
        <v>2754</v>
      </c>
      <c r="C673" s="2" t="s">
        <v>13</v>
      </c>
      <c r="D673" s="3">
        <v>36031</v>
      </c>
      <c r="E673" s="2" t="s">
        <v>2755</v>
      </c>
      <c r="F673" s="2" t="s">
        <v>2756</v>
      </c>
      <c r="G673" s="2" t="s">
        <v>84</v>
      </c>
      <c r="H673" s="2" t="s">
        <v>85</v>
      </c>
      <c r="I673" s="2" t="s">
        <v>18</v>
      </c>
      <c r="J673" s="2" t="s">
        <v>25</v>
      </c>
      <c r="K673" s="2" t="str">
        <f>_xlfn.XLOOKUP(TRIM(Table1[[#This Row],[Membership]]),Sheet2!$A$2:$A$7,Sheet2!$B$2:$B$7,"Checkmanually")</f>
        <v>Silver</v>
      </c>
      <c r="L673" s="3">
        <v>44139</v>
      </c>
    </row>
    <row r="674" spans="1:12" x14ac:dyDescent="0.25">
      <c r="A674" s="2" t="s">
        <v>2757</v>
      </c>
      <c r="B674" s="2" t="s">
        <v>2758</v>
      </c>
      <c r="C674" s="2" t="s">
        <v>33</v>
      </c>
      <c r="D674" s="3">
        <v>31025</v>
      </c>
      <c r="E674" s="2" t="s">
        <v>2759</v>
      </c>
      <c r="F674" s="2" t="s">
        <v>2760</v>
      </c>
      <c r="G674" s="2" t="s">
        <v>24</v>
      </c>
      <c r="H674" s="2" t="s">
        <v>17</v>
      </c>
      <c r="I674" s="2" t="s">
        <v>18</v>
      </c>
      <c r="J674" s="2" t="s">
        <v>25</v>
      </c>
      <c r="K674" s="2" t="str">
        <f>_xlfn.XLOOKUP(TRIM(Table1[[#This Row],[Membership]]),Sheet2!$A$2:$A$7,Sheet2!$B$2:$B$7,"Checkmanually")</f>
        <v>Silver</v>
      </c>
      <c r="L674" s="3">
        <v>45222</v>
      </c>
    </row>
    <row r="675" spans="1:12" x14ac:dyDescent="0.25">
      <c r="A675" s="2" t="s">
        <v>2761</v>
      </c>
      <c r="B675" s="2" t="s">
        <v>2762</v>
      </c>
      <c r="C675" s="2" t="s">
        <v>33</v>
      </c>
      <c r="D675" s="3">
        <v>28935</v>
      </c>
      <c r="E675" s="2" t="s">
        <v>2763</v>
      </c>
      <c r="F675" s="2" t="s">
        <v>2764</v>
      </c>
      <c r="G675" s="2" t="s">
        <v>121</v>
      </c>
      <c r="H675" s="2" t="s">
        <v>122</v>
      </c>
      <c r="I675" s="2" t="s">
        <v>18</v>
      </c>
      <c r="J675" s="2" t="s">
        <v>25</v>
      </c>
      <c r="K675" s="2" t="str">
        <f>_xlfn.XLOOKUP(TRIM(Table1[[#This Row],[Membership]]),Sheet2!$A$2:$A$7,Sheet2!$B$2:$B$7,"Checkmanually")</f>
        <v>Silver</v>
      </c>
      <c r="L675" s="3">
        <v>45909</v>
      </c>
    </row>
    <row r="676" spans="1:12" x14ac:dyDescent="0.25">
      <c r="A676" s="2" t="s">
        <v>2765</v>
      </c>
      <c r="B676" s="2" t="s">
        <v>2766</v>
      </c>
      <c r="C676" s="2" t="s">
        <v>33</v>
      </c>
      <c r="D676" s="3">
        <v>33535</v>
      </c>
      <c r="E676" s="2" t="s">
        <v>2767</v>
      </c>
      <c r="F676" s="2" t="s">
        <v>2768</v>
      </c>
      <c r="G676" s="2" t="s">
        <v>16</v>
      </c>
      <c r="H676" s="2" t="s">
        <v>17</v>
      </c>
      <c r="I676" s="2" t="s">
        <v>18</v>
      </c>
      <c r="J676" s="2" t="s">
        <v>183</v>
      </c>
      <c r="K676" s="2" t="str">
        <f>_xlfn.XLOOKUP(TRIM(Table1[[#This Row],[Membership]]),Sheet2!$A$2:$A$7,Sheet2!$B$2:$B$7,"Checkmanually")</f>
        <v>Gold</v>
      </c>
      <c r="L676" s="3">
        <v>44003</v>
      </c>
    </row>
    <row r="677" spans="1:12" x14ac:dyDescent="0.25">
      <c r="A677" s="2" t="s">
        <v>2769</v>
      </c>
      <c r="B677" s="2" t="s">
        <v>2770</v>
      </c>
      <c r="C677" s="2" t="s">
        <v>33</v>
      </c>
      <c r="D677" s="3">
        <v>39016</v>
      </c>
      <c r="E677" s="2" t="s">
        <v>2771</v>
      </c>
      <c r="F677" s="2" t="s">
        <v>2772</v>
      </c>
      <c r="G677" s="2" t="s">
        <v>509</v>
      </c>
      <c r="H677" s="2" t="s">
        <v>510</v>
      </c>
      <c r="I677" s="2" t="s">
        <v>49</v>
      </c>
      <c r="J677" s="2" t="s">
        <v>183</v>
      </c>
      <c r="K677" s="2" t="str">
        <f>_xlfn.XLOOKUP(TRIM(Table1[[#This Row],[Membership]]),Sheet2!$A$2:$A$7,Sheet2!$B$2:$B$7,"Checkmanually")</f>
        <v>Gold</v>
      </c>
      <c r="L677" s="3">
        <v>45951</v>
      </c>
    </row>
    <row r="678" spans="1:12" x14ac:dyDescent="0.25">
      <c r="A678" s="2" t="s">
        <v>2773</v>
      </c>
      <c r="B678" s="2" t="s">
        <v>2774</v>
      </c>
      <c r="C678" s="2" t="s">
        <v>13</v>
      </c>
      <c r="D678" s="3">
        <v>32469</v>
      </c>
      <c r="E678" s="2" t="s">
        <v>2775</v>
      </c>
      <c r="F678" s="2" t="s">
        <v>2776</v>
      </c>
      <c r="G678" s="2" t="s">
        <v>63</v>
      </c>
      <c r="H678" s="2" t="s">
        <v>17</v>
      </c>
      <c r="I678" s="2" t="s">
        <v>18</v>
      </c>
      <c r="J678" s="2" t="s">
        <v>183</v>
      </c>
      <c r="K678" s="2" t="str">
        <f>_xlfn.XLOOKUP(TRIM(Table1[[#This Row],[Membership]]),Sheet2!$A$2:$A$7,Sheet2!$B$2:$B$7,"Checkmanually")</f>
        <v>Gold</v>
      </c>
      <c r="L678" s="3">
        <v>45717</v>
      </c>
    </row>
    <row r="679" spans="1:12" x14ac:dyDescent="0.25">
      <c r="A679" s="2" t="s">
        <v>2777</v>
      </c>
      <c r="B679" s="2" t="s">
        <v>2778</v>
      </c>
      <c r="C679" s="2" t="s">
        <v>13</v>
      </c>
      <c r="D679" s="3">
        <v>37355</v>
      </c>
      <c r="E679" s="2" t="s">
        <v>2779</v>
      </c>
      <c r="F679" s="2" t="s">
        <v>2780</v>
      </c>
      <c r="G679" s="2" t="s">
        <v>40</v>
      </c>
      <c r="H679" s="2" t="s">
        <v>41</v>
      </c>
      <c r="I679" s="2" t="s">
        <v>42</v>
      </c>
      <c r="J679" s="2" t="s">
        <v>19</v>
      </c>
      <c r="K679" s="2" t="str">
        <f>_xlfn.XLOOKUP(TRIM(Table1[[#This Row],[Membership]]),Sheet2!$A$2:$A$7,Sheet2!$B$2:$B$7,"Checkmanually")</f>
        <v>Bronze</v>
      </c>
      <c r="L679" s="3">
        <v>43817</v>
      </c>
    </row>
    <row r="680" spans="1:12" x14ac:dyDescent="0.25">
      <c r="A680" s="2" t="s">
        <v>2781</v>
      </c>
      <c r="B680" s="2" t="s">
        <v>2782</v>
      </c>
      <c r="C680" s="2" t="s">
        <v>33</v>
      </c>
      <c r="D680" s="3">
        <v>33763</v>
      </c>
      <c r="E680" s="2" t="s">
        <v>2783</v>
      </c>
      <c r="F680" s="2" t="s">
        <v>2784</v>
      </c>
      <c r="G680" s="2" t="s">
        <v>540</v>
      </c>
      <c r="H680" s="2" t="s">
        <v>48</v>
      </c>
      <c r="I680" s="2" t="s">
        <v>49</v>
      </c>
      <c r="J680" s="2" t="s">
        <v>25</v>
      </c>
      <c r="K680" s="2" t="str">
        <f>_xlfn.XLOOKUP(TRIM(Table1[[#This Row],[Membership]]),Sheet2!$A$2:$A$7,Sheet2!$B$2:$B$7,"Checkmanually")</f>
        <v>Silver</v>
      </c>
      <c r="L680" s="3">
        <v>44232</v>
      </c>
    </row>
    <row r="681" spans="1:12" x14ac:dyDescent="0.25">
      <c r="A681" s="2" t="s">
        <v>2785</v>
      </c>
      <c r="B681" s="2" t="s">
        <v>2786</v>
      </c>
      <c r="C681" s="2" t="s">
        <v>33</v>
      </c>
      <c r="D681" s="3">
        <v>31338</v>
      </c>
      <c r="E681" s="2" t="s">
        <v>2787</v>
      </c>
      <c r="F681" s="2" t="s">
        <v>2788</v>
      </c>
      <c r="G681" s="2" t="s">
        <v>121</v>
      </c>
      <c r="H681" s="2" t="s">
        <v>122</v>
      </c>
      <c r="I681" s="2" t="s">
        <v>18</v>
      </c>
      <c r="J681" s="2" t="s">
        <v>25</v>
      </c>
      <c r="K681" s="2" t="str">
        <f>_xlfn.XLOOKUP(TRIM(Table1[[#This Row],[Membership]]),Sheet2!$A$2:$A$7,Sheet2!$B$2:$B$7,"Checkmanually")</f>
        <v>Silver</v>
      </c>
      <c r="L681" s="3">
        <v>45609</v>
      </c>
    </row>
    <row r="682" spans="1:12" x14ac:dyDescent="0.25">
      <c r="A682" s="2" t="s">
        <v>2789</v>
      </c>
      <c r="B682" s="2" t="s">
        <v>2790</v>
      </c>
      <c r="C682" s="2" t="s">
        <v>33</v>
      </c>
      <c r="D682" s="3">
        <v>31460</v>
      </c>
      <c r="E682" s="2" t="s">
        <v>2791</v>
      </c>
      <c r="F682" s="2" t="s">
        <v>2792</v>
      </c>
      <c r="G682" s="2" t="s">
        <v>90</v>
      </c>
      <c r="H682" s="2" t="s">
        <v>91</v>
      </c>
      <c r="I682" s="2" t="s">
        <v>18</v>
      </c>
      <c r="J682" s="2" t="s">
        <v>19</v>
      </c>
      <c r="K682" s="2" t="str">
        <f>_xlfn.XLOOKUP(TRIM(Table1[[#This Row],[Membership]]),Sheet2!$A$2:$A$7,Sheet2!$B$2:$B$7,"Checkmanually")</f>
        <v>Bronze</v>
      </c>
      <c r="L682" s="3">
        <v>44282</v>
      </c>
    </row>
    <row r="683" spans="1:12" x14ac:dyDescent="0.25">
      <c r="A683" s="2" t="s">
        <v>2793</v>
      </c>
      <c r="B683" s="2" t="s">
        <v>2794</v>
      </c>
      <c r="C683" s="2" t="s">
        <v>33</v>
      </c>
      <c r="D683" s="3">
        <v>25012</v>
      </c>
      <c r="E683" s="2" t="s">
        <v>2795</v>
      </c>
      <c r="F683" s="2" t="s">
        <v>2796</v>
      </c>
      <c r="G683" s="2" t="s">
        <v>273</v>
      </c>
      <c r="H683" s="2" t="s">
        <v>274</v>
      </c>
      <c r="I683" s="2" t="s">
        <v>49</v>
      </c>
      <c r="J683" s="2" t="s">
        <v>25</v>
      </c>
      <c r="K683" s="2" t="str">
        <f>_xlfn.XLOOKUP(TRIM(Table1[[#This Row],[Membership]]),Sheet2!$A$2:$A$7,Sheet2!$B$2:$B$7,"Checkmanually")</f>
        <v>Silver</v>
      </c>
      <c r="L683" s="3">
        <v>45243</v>
      </c>
    </row>
    <row r="684" spans="1:12" x14ac:dyDescent="0.25">
      <c r="A684" s="2" t="s">
        <v>2797</v>
      </c>
      <c r="B684" s="2" t="s">
        <v>2798</v>
      </c>
      <c r="C684" s="2" t="s">
        <v>33</v>
      </c>
      <c r="D684" s="3">
        <v>29535</v>
      </c>
      <c r="E684" s="2" t="s">
        <v>2799</v>
      </c>
      <c r="F684" s="2" t="s">
        <v>2800</v>
      </c>
      <c r="G684" s="2" t="s">
        <v>228</v>
      </c>
      <c r="H684" s="2" t="s">
        <v>17</v>
      </c>
      <c r="I684" s="2" t="s">
        <v>18</v>
      </c>
      <c r="J684" s="2" t="s">
        <v>25</v>
      </c>
      <c r="K684" s="2" t="str">
        <f>_xlfn.XLOOKUP(TRIM(Table1[[#This Row],[Membership]]),Sheet2!$A$2:$A$7,Sheet2!$B$2:$B$7,"Checkmanually")</f>
        <v>Silver</v>
      </c>
      <c r="L684" s="3">
        <v>43365</v>
      </c>
    </row>
    <row r="685" spans="1:12" x14ac:dyDescent="0.25">
      <c r="A685" s="2" t="s">
        <v>2801</v>
      </c>
      <c r="B685" s="2" t="s">
        <v>2869</v>
      </c>
      <c r="C685" s="2" t="s">
        <v>13</v>
      </c>
      <c r="D685" s="3">
        <v>29363</v>
      </c>
      <c r="E685" s="2" t="s">
        <v>2802</v>
      </c>
      <c r="F685" s="2" t="s">
        <v>2803</v>
      </c>
      <c r="G685" s="2" t="s">
        <v>90</v>
      </c>
      <c r="H685" s="2" t="s">
        <v>91</v>
      </c>
      <c r="I685" s="2" t="s">
        <v>18</v>
      </c>
      <c r="J685" s="2" t="s">
        <v>183</v>
      </c>
      <c r="K685" s="2" t="str">
        <f>_xlfn.XLOOKUP(TRIM(Table1[[#This Row],[Membership]]),Sheet2!$A$2:$A$7,Sheet2!$B$2:$B$7,"Checkmanually")</f>
        <v>Gold</v>
      </c>
      <c r="L685" s="3">
        <v>45530</v>
      </c>
    </row>
    <row r="686" spans="1:12" x14ac:dyDescent="0.25">
      <c r="A686" s="2" t="s">
        <v>2804</v>
      </c>
      <c r="B686" s="2" t="s">
        <v>2805</v>
      </c>
      <c r="C686" s="2" t="s">
        <v>33</v>
      </c>
      <c r="D686" s="3">
        <v>31632</v>
      </c>
      <c r="E686" s="2" t="s">
        <v>2806</v>
      </c>
      <c r="F686" s="2" t="s">
        <v>2807</v>
      </c>
      <c r="G686" s="2" t="s">
        <v>30</v>
      </c>
      <c r="H686" s="2" t="s">
        <v>17</v>
      </c>
      <c r="I686" s="2" t="s">
        <v>18</v>
      </c>
      <c r="J686" s="2" t="s">
        <v>183</v>
      </c>
      <c r="K686" s="2" t="str">
        <f>_xlfn.XLOOKUP(TRIM(Table1[[#This Row],[Membership]]),Sheet2!$A$2:$A$7,Sheet2!$B$2:$B$7,"Checkmanually")</f>
        <v>Gold</v>
      </c>
      <c r="L686" s="3">
        <v>45805</v>
      </c>
    </row>
    <row r="687" spans="1:12" x14ac:dyDescent="0.25">
      <c r="A687" s="2" t="s">
        <v>2808</v>
      </c>
      <c r="B687" s="2" t="s">
        <v>2809</v>
      </c>
      <c r="C687" s="2" t="s">
        <v>13</v>
      </c>
      <c r="D687" s="3">
        <v>29372</v>
      </c>
      <c r="E687" s="2" t="s">
        <v>2810</v>
      </c>
      <c r="F687" s="2" t="s">
        <v>2811</v>
      </c>
      <c r="G687" s="2" t="s">
        <v>30</v>
      </c>
      <c r="H687" s="2" t="s">
        <v>17</v>
      </c>
      <c r="I687" s="2" t="s">
        <v>18</v>
      </c>
      <c r="J687" s="2" t="s">
        <v>183</v>
      </c>
      <c r="K687" s="2" t="str">
        <f>_xlfn.XLOOKUP(TRIM(Table1[[#This Row],[Membership]]),Sheet2!$A$2:$A$7,Sheet2!$B$2:$B$7,"Checkmanually")</f>
        <v>Gold</v>
      </c>
      <c r="L687" s="3">
        <v>45157</v>
      </c>
    </row>
    <row r="688" spans="1:12" x14ac:dyDescent="0.25">
      <c r="A688" s="2" t="s">
        <v>2812</v>
      </c>
      <c r="B688" s="2" t="s">
        <v>2813</v>
      </c>
      <c r="C688" s="2" t="s">
        <v>33</v>
      </c>
      <c r="D688" s="3">
        <v>28959</v>
      </c>
      <c r="E688" s="2" t="s">
        <v>2814</v>
      </c>
      <c r="F688" s="2" t="s">
        <v>2815</v>
      </c>
      <c r="G688" s="2" t="s">
        <v>115</v>
      </c>
      <c r="H688" s="2" t="s">
        <v>116</v>
      </c>
      <c r="I688" s="2" t="s">
        <v>42</v>
      </c>
      <c r="J688" s="2" t="s">
        <v>19</v>
      </c>
      <c r="K688" s="2" t="str">
        <f>_xlfn.XLOOKUP(TRIM(Table1[[#This Row],[Membership]]),Sheet2!$A$2:$A$7,Sheet2!$B$2:$B$7,"Checkmanually")</f>
        <v>Bronze</v>
      </c>
      <c r="L688" s="3">
        <v>43685</v>
      </c>
    </row>
    <row r="689" spans="1:12" x14ac:dyDescent="0.25">
      <c r="A689" s="2" t="s">
        <v>2816</v>
      </c>
      <c r="B689" s="2" t="s">
        <v>2817</v>
      </c>
      <c r="C689" s="2" t="s">
        <v>33</v>
      </c>
      <c r="D689" s="3">
        <v>29619</v>
      </c>
      <c r="E689" s="2" t="s">
        <v>2818</v>
      </c>
      <c r="F689" s="2" t="s">
        <v>2819</v>
      </c>
      <c r="G689" s="2" t="s">
        <v>121</v>
      </c>
      <c r="H689" s="2" t="s">
        <v>122</v>
      </c>
      <c r="I689" s="2" t="s">
        <v>18</v>
      </c>
      <c r="J689" s="2" t="s">
        <v>19</v>
      </c>
      <c r="K689" s="2" t="str">
        <f>_xlfn.XLOOKUP(TRIM(Table1[[#This Row],[Membership]]),Sheet2!$A$2:$A$7,Sheet2!$B$2:$B$7,"Checkmanually")</f>
        <v>Bronze</v>
      </c>
      <c r="L689" s="3">
        <v>43997</v>
      </c>
    </row>
    <row r="690" spans="1:12" x14ac:dyDescent="0.25">
      <c r="A690" s="2" t="s">
        <v>2820</v>
      </c>
      <c r="B690" s="2" t="s">
        <v>2821</v>
      </c>
      <c r="C690" s="2" t="s">
        <v>33</v>
      </c>
      <c r="D690" s="3">
        <v>32746</v>
      </c>
      <c r="E690" s="2" t="s">
        <v>2822</v>
      </c>
      <c r="F690" s="2" t="s">
        <v>2823</v>
      </c>
      <c r="G690" s="2" t="s">
        <v>24</v>
      </c>
      <c r="H690" s="2" t="s">
        <v>17</v>
      </c>
      <c r="I690" s="2" t="s">
        <v>18</v>
      </c>
      <c r="J690" s="2" t="s">
        <v>25</v>
      </c>
      <c r="K690" s="2" t="str">
        <f>_xlfn.XLOOKUP(TRIM(Table1[[#This Row],[Membership]]),Sheet2!$A$2:$A$7,Sheet2!$B$2:$B$7,"Checkmanually")</f>
        <v>Silver</v>
      </c>
      <c r="L690" s="3">
        <v>44831</v>
      </c>
    </row>
    <row r="691" spans="1:12" x14ac:dyDescent="0.25">
      <c r="A691" s="2" t="s">
        <v>2824</v>
      </c>
      <c r="B691" s="2" t="s">
        <v>2825</v>
      </c>
      <c r="C691" s="2" t="s">
        <v>13</v>
      </c>
      <c r="D691" s="3">
        <v>30272</v>
      </c>
      <c r="E691" s="2" t="s">
        <v>2826</v>
      </c>
      <c r="F691" s="2" t="s">
        <v>2827</v>
      </c>
      <c r="G691" s="2" t="s">
        <v>144</v>
      </c>
      <c r="H691" s="2" t="s">
        <v>145</v>
      </c>
      <c r="I691" s="2" t="s">
        <v>146</v>
      </c>
      <c r="J691" s="2" t="s">
        <v>19</v>
      </c>
      <c r="K691" s="2" t="str">
        <f>_xlfn.XLOOKUP(TRIM(Table1[[#This Row],[Membership]]),Sheet2!$A$2:$A$7,Sheet2!$B$2:$B$7,"Checkmanually")</f>
        <v>Bronze</v>
      </c>
      <c r="L691" s="3">
        <v>43810</v>
      </c>
    </row>
    <row r="692" spans="1:12" x14ac:dyDescent="0.25">
      <c r="A692" s="2" t="s">
        <v>2828</v>
      </c>
      <c r="B692" s="2" t="s">
        <v>2829</v>
      </c>
      <c r="C692" s="2" t="s">
        <v>13</v>
      </c>
      <c r="D692" s="3">
        <v>24650</v>
      </c>
      <c r="E692" s="2" t="s">
        <v>2830</v>
      </c>
      <c r="F692" s="2" t="s">
        <v>2831</v>
      </c>
      <c r="G692" s="2" t="s">
        <v>24</v>
      </c>
      <c r="H692" s="2" t="s">
        <v>17</v>
      </c>
      <c r="I692" s="2" t="s">
        <v>18</v>
      </c>
      <c r="J692" s="2" t="s">
        <v>19</v>
      </c>
      <c r="K692" s="2" t="str">
        <f>_xlfn.XLOOKUP(TRIM(Table1[[#This Row],[Membership]]),Sheet2!$A$2:$A$7,Sheet2!$B$2:$B$7,"Checkmanually")</f>
        <v>Bronze</v>
      </c>
      <c r="L692" s="3">
        <v>45899</v>
      </c>
    </row>
    <row r="693" spans="1:12" x14ac:dyDescent="0.25">
      <c r="A693" s="2" t="s">
        <v>2832</v>
      </c>
      <c r="B693" s="2" t="s">
        <v>2833</v>
      </c>
      <c r="C693" s="2" t="s">
        <v>33</v>
      </c>
      <c r="D693" s="3">
        <v>26627</v>
      </c>
      <c r="E693" s="2" t="s">
        <v>2834</v>
      </c>
      <c r="F693" s="2" t="s">
        <v>2835</v>
      </c>
      <c r="G693" s="2" t="s">
        <v>228</v>
      </c>
      <c r="H693" s="2" t="s">
        <v>17</v>
      </c>
      <c r="I693" s="2" t="s">
        <v>18</v>
      </c>
      <c r="J693" s="2" t="s">
        <v>25</v>
      </c>
      <c r="K693" s="2" t="str">
        <f>_xlfn.XLOOKUP(TRIM(Table1[[#This Row],[Membership]]),Sheet2!$A$2:$A$7,Sheet2!$B$2:$B$7,"Checkmanually")</f>
        <v>Silver</v>
      </c>
      <c r="L693" s="3">
        <v>44334</v>
      </c>
    </row>
    <row r="694" spans="1:12" x14ac:dyDescent="0.25">
      <c r="A694" s="2" t="s">
        <v>2836</v>
      </c>
      <c r="B694" s="2" t="s">
        <v>2837</v>
      </c>
      <c r="C694" s="2" t="s">
        <v>33</v>
      </c>
      <c r="D694" s="3">
        <v>35201</v>
      </c>
      <c r="E694" s="2" t="s">
        <v>2838</v>
      </c>
      <c r="F694" s="2" t="s">
        <v>2839</v>
      </c>
      <c r="G694" s="2" t="s">
        <v>121</v>
      </c>
      <c r="H694" s="2" t="s">
        <v>122</v>
      </c>
      <c r="I694" s="2" t="s">
        <v>18</v>
      </c>
      <c r="J694" s="2" t="s">
        <v>19</v>
      </c>
      <c r="K694" s="2" t="str">
        <f>_xlfn.XLOOKUP(TRIM(Table1[[#This Row],[Membership]]),Sheet2!$A$2:$A$7,Sheet2!$B$2:$B$7,"Checkmanually")</f>
        <v>Bronze</v>
      </c>
      <c r="L694" s="3">
        <v>45336</v>
      </c>
    </row>
    <row r="695" spans="1:12" x14ac:dyDescent="0.25">
      <c r="A695" s="2" t="s">
        <v>2840</v>
      </c>
      <c r="B695" s="2" t="s">
        <v>2841</v>
      </c>
      <c r="C695" s="2" t="s">
        <v>13</v>
      </c>
      <c r="D695" s="3">
        <v>37344</v>
      </c>
      <c r="E695" s="2" t="s">
        <v>2842</v>
      </c>
      <c r="F695" s="2" t="s">
        <v>2843</v>
      </c>
      <c r="G695" s="2" t="s">
        <v>131</v>
      </c>
      <c r="H695" s="2" t="s">
        <v>91</v>
      </c>
      <c r="I695" s="2" t="s">
        <v>18</v>
      </c>
      <c r="J695" s="2" t="s">
        <v>183</v>
      </c>
      <c r="K695" s="2" t="str">
        <f>_xlfn.XLOOKUP(TRIM(Table1[[#This Row],[Membership]]),Sheet2!$A$2:$A$7,Sheet2!$B$2:$B$7,"Checkmanually")</f>
        <v>Gold</v>
      </c>
      <c r="L695" s="3">
        <v>44911</v>
      </c>
    </row>
    <row r="696" spans="1:12" x14ac:dyDescent="0.25">
      <c r="A696" s="2" t="s">
        <v>2844</v>
      </c>
      <c r="B696" s="2" t="s">
        <v>2845</v>
      </c>
      <c r="C696" s="2" t="s">
        <v>33</v>
      </c>
      <c r="D696" s="3">
        <v>34103</v>
      </c>
      <c r="E696" s="2" t="s">
        <v>2846</v>
      </c>
      <c r="F696" s="2" t="s">
        <v>2847</v>
      </c>
      <c r="G696" s="2" t="s">
        <v>24</v>
      </c>
      <c r="H696" s="2" t="s">
        <v>17</v>
      </c>
      <c r="I696" s="2" t="s">
        <v>18</v>
      </c>
      <c r="J696" s="2" t="s">
        <v>25</v>
      </c>
      <c r="K696" s="2" t="str">
        <f>_xlfn.XLOOKUP(TRIM(Table1[[#This Row],[Membership]]),Sheet2!$A$2:$A$7,Sheet2!$B$2:$B$7,"Checkmanually")</f>
        <v>Silver</v>
      </c>
      <c r="L696" s="3">
        <v>45011</v>
      </c>
    </row>
    <row r="697" spans="1:12" x14ac:dyDescent="0.25">
      <c r="A697" s="2" t="s">
        <v>2848</v>
      </c>
      <c r="B697" s="2" t="s">
        <v>2849</v>
      </c>
      <c r="C697" s="2" t="s">
        <v>2850</v>
      </c>
      <c r="D697" s="3">
        <v>20955</v>
      </c>
      <c r="E697" s="2" t="s">
        <v>2851</v>
      </c>
      <c r="F697" s="2" t="s">
        <v>2852</v>
      </c>
      <c r="G697" s="2" t="s">
        <v>193</v>
      </c>
      <c r="H697" s="2" t="s">
        <v>193</v>
      </c>
      <c r="I697" s="2" t="s">
        <v>49</v>
      </c>
      <c r="J697" s="2" t="s">
        <v>19</v>
      </c>
      <c r="K697" s="2" t="str">
        <f>_xlfn.XLOOKUP(TRIM(Table1[[#This Row],[Membership]]),Sheet2!$A$2:$A$7,Sheet2!$B$2:$B$7,"Checkmanually")</f>
        <v>Bronze</v>
      </c>
      <c r="L697" s="3">
        <v>44825</v>
      </c>
    </row>
    <row r="698" spans="1:12" x14ac:dyDescent="0.25">
      <c r="A698" s="2" t="s">
        <v>2853</v>
      </c>
      <c r="B698" s="2" t="s">
        <v>2854</v>
      </c>
      <c r="C698" s="2" t="s">
        <v>13</v>
      </c>
      <c r="D698" s="3">
        <v>28041</v>
      </c>
      <c r="E698" s="2" t="s">
        <v>2855</v>
      </c>
      <c r="F698" s="2" t="s">
        <v>2856</v>
      </c>
      <c r="G698" s="2" t="s">
        <v>121</v>
      </c>
      <c r="H698" s="2" t="s">
        <v>122</v>
      </c>
      <c r="I698" s="2" t="s">
        <v>18</v>
      </c>
      <c r="J698" s="2" t="s">
        <v>19</v>
      </c>
      <c r="K698" s="2" t="str">
        <f>_xlfn.XLOOKUP(TRIM(Table1[[#This Row],[Membership]]),Sheet2!$A$2:$A$7,Sheet2!$B$2:$B$7,"Checkmanually")</f>
        <v>Bronze</v>
      </c>
      <c r="L698" s="3">
        <v>45478</v>
      </c>
    </row>
    <row r="699" spans="1:12" x14ac:dyDescent="0.25">
      <c r="A699" s="2" t="s">
        <v>2857</v>
      </c>
      <c r="B699" s="2" t="s">
        <v>2858</v>
      </c>
      <c r="C699" s="2" t="s">
        <v>13</v>
      </c>
      <c r="D699" s="3">
        <v>38622</v>
      </c>
      <c r="E699" s="2" t="s">
        <v>2859</v>
      </c>
      <c r="F699" s="2" t="s">
        <v>2860</v>
      </c>
      <c r="G699" s="2" t="s">
        <v>121</v>
      </c>
      <c r="H699" s="2" t="s">
        <v>122</v>
      </c>
      <c r="I699" s="2" t="s">
        <v>18</v>
      </c>
      <c r="J699" s="2" t="s">
        <v>25</v>
      </c>
      <c r="K699" s="2" t="str">
        <f>_xlfn.XLOOKUP(TRIM(Table1[[#This Row],[Membership]]),Sheet2!$A$2:$A$7,Sheet2!$B$2:$B$7,"Checkmanually")</f>
        <v>Silver</v>
      </c>
      <c r="L699" s="3">
        <v>44302</v>
      </c>
    </row>
    <row r="700" spans="1:12" x14ac:dyDescent="0.25">
      <c r="A700" s="2" t="s">
        <v>2861</v>
      </c>
      <c r="B700" s="2" t="s">
        <v>2862</v>
      </c>
      <c r="C700" s="2" t="s">
        <v>33</v>
      </c>
      <c r="D700" s="3">
        <v>20285</v>
      </c>
      <c r="E700" s="2" t="s">
        <v>2863</v>
      </c>
      <c r="F700" s="2" t="s">
        <v>2864</v>
      </c>
      <c r="G700" s="2" t="s">
        <v>131</v>
      </c>
      <c r="H700" s="2" t="s">
        <v>91</v>
      </c>
      <c r="I700" s="2" t="s">
        <v>18</v>
      </c>
      <c r="J700" s="2" t="s">
        <v>183</v>
      </c>
      <c r="K700" s="2" t="str">
        <f>_xlfn.XLOOKUP(TRIM(Table1[[#This Row],[Membership]]),Sheet2!$A$2:$A$7,Sheet2!$B$2:$B$7,"Checkmanually")</f>
        <v>Gold</v>
      </c>
      <c r="L700" s="3">
        <v>44996</v>
      </c>
    </row>
    <row r="701" spans="1:12" x14ac:dyDescent="0.25">
      <c r="A701" s="2" t="s">
        <v>2865</v>
      </c>
      <c r="B701" s="2" t="s">
        <v>2866</v>
      </c>
      <c r="C701" s="2" t="s">
        <v>13</v>
      </c>
      <c r="D701" s="3">
        <v>21870</v>
      </c>
      <c r="E701" s="2" t="s">
        <v>2867</v>
      </c>
      <c r="F701" s="2" t="s">
        <v>2868</v>
      </c>
      <c r="G701" s="2" t="s">
        <v>84</v>
      </c>
      <c r="H701" s="2" t="s">
        <v>85</v>
      </c>
      <c r="I701" s="2" t="s">
        <v>18</v>
      </c>
      <c r="J701" s="2" t="s">
        <v>25</v>
      </c>
      <c r="K701" s="2" t="str">
        <f>_xlfn.XLOOKUP(TRIM(Table1[[#This Row],[Membership]]),Sheet2!$A$2:$A$7,Sheet2!$B$2:$B$7,"Checkmanually")</f>
        <v>Silver</v>
      </c>
      <c r="L701" s="3">
        <v>43447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D43C7-421C-4B67-A06A-FF8CA8423FDE}">
  <dimension ref="A1:B7"/>
  <sheetViews>
    <sheetView workbookViewId="0">
      <selection activeCell="B17" sqref="B17"/>
    </sheetView>
  </sheetViews>
  <sheetFormatPr defaultRowHeight="15" x14ac:dyDescent="0.25"/>
  <cols>
    <col min="1" max="1" width="20.28515625" customWidth="1"/>
    <col min="2" max="2" width="24.5703125" customWidth="1"/>
  </cols>
  <sheetData>
    <row r="1" spans="1:2" x14ac:dyDescent="0.25">
      <c r="A1" s="4" t="s">
        <v>2870</v>
      </c>
      <c r="B1" s="4" t="s">
        <v>2871</v>
      </c>
    </row>
    <row r="2" spans="1:2" x14ac:dyDescent="0.25">
      <c r="A2" t="s">
        <v>1150</v>
      </c>
      <c r="B2" t="s">
        <v>19</v>
      </c>
    </row>
    <row r="3" spans="1:2" x14ac:dyDescent="0.25">
      <c r="A3" t="s">
        <v>110</v>
      </c>
      <c r="B3" t="s">
        <v>183</v>
      </c>
    </row>
    <row r="4" spans="1:2" x14ac:dyDescent="0.25">
      <c r="A4" t="s">
        <v>215</v>
      </c>
      <c r="B4" t="s">
        <v>25</v>
      </c>
    </row>
    <row r="5" spans="1:2" x14ac:dyDescent="0.25">
      <c r="A5" t="s">
        <v>25</v>
      </c>
      <c r="B5" t="s">
        <v>25</v>
      </c>
    </row>
    <row r="6" spans="1:2" x14ac:dyDescent="0.25">
      <c r="A6" t="s">
        <v>183</v>
      </c>
      <c r="B6" t="s">
        <v>183</v>
      </c>
    </row>
    <row r="7" spans="1:2" x14ac:dyDescent="0.25">
      <c r="A7" t="s">
        <v>19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AnudipCOA</cp:lastModifiedBy>
  <dcterms:created xsi:type="dcterms:W3CDTF">2026-07-31T06:43:29Z</dcterms:created>
  <dcterms:modified xsi:type="dcterms:W3CDTF">2026-08-04T12:04:32Z</dcterms:modified>
</cp:coreProperties>
</file>