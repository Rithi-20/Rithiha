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6FF4EDD41B64DB/Desktop/"/>
    </mc:Choice>
  </mc:AlternateContent>
  <xr:revisionPtr revIDLastSave="58" documentId="8_{65343440-51A6-4FEA-8C41-AE7A82F7F102}" xr6:coauthVersionLast="47" xr6:coauthVersionMax="47" xr10:uidLastSave="{649E3FE4-4A34-4549-B7B8-130120CE0B53}"/>
  <bookViews>
    <workbookView xWindow="-110" yWindow="-110" windowWidth="19420" windowHeight="10300" xr2:uid="{0642A12E-5FF2-42FC-BE12-DFEBADDDAB76}"/>
  </bookViews>
  <sheets>
    <sheet name="Products" sheetId="1" r:id="rId1"/>
    <sheet name="Data_profil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</calcChain>
</file>

<file path=xl/sharedStrings.xml><?xml version="1.0" encoding="utf-8"?>
<sst xmlns="http://schemas.openxmlformats.org/spreadsheetml/2006/main" count="1226" uniqueCount="493">
  <si>
    <t>Active</t>
  </si>
  <si>
    <t>All Season</t>
  </si>
  <si>
    <t>SUP021</t>
  </si>
  <si>
    <t>Lizol</t>
  </si>
  <si>
    <t>Toilet Cleaner</t>
  </si>
  <si>
    <t>Cleaning</t>
  </si>
  <si>
    <t>Lizol Toilet Cleaner 200g v2</t>
  </si>
  <si>
    <t>PRD150</t>
  </si>
  <si>
    <t>SUP008</t>
  </si>
  <si>
    <t>Vim</t>
  </si>
  <si>
    <t>Vim Toilet Cleaner 200g</t>
  </si>
  <si>
    <t>PRD149</t>
  </si>
  <si>
    <t>SUP058</t>
  </si>
  <si>
    <t>Lizol Toilet Cleaner 200g</t>
  </si>
  <si>
    <t>PRD148</t>
  </si>
  <si>
    <t>Monsoon</t>
  </si>
  <si>
    <t>SUP040</t>
  </si>
  <si>
    <t>Dishwash</t>
  </si>
  <si>
    <t>Vim Dishwash 1kg</t>
  </si>
  <si>
    <t>PRD147</t>
  </si>
  <si>
    <t>Festive</t>
  </si>
  <si>
    <t>SUP024</t>
  </si>
  <si>
    <t>Floor Cleaner</t>
  </si>
  <si>
    <t>Lizol Floor Cleaner 200g</t>
  </si>
  <si>
    <t>PRD146</t>
  </si>
  <si>
    <t>Winter</t>
  </si>
  <si>
    <t>SUP067</t>
  </si>
  <si>
    <t>Harpic</t>
  </si>
  <si>
    <t>Harpic Dishwash 2kg</t>
  </si>
  <si>
    <t>PRD145</t>
  </si>
  <si>
    <t>SUP057</t>
  </si>
  <si>
    <t xml:space="preserve">  Harpic Dishwash Combo  </t>
  </si>
  <si>
    <t>PRD144</t>
  </si>
  <si>
    <t>SUP084</t>
  </si>
  <si>
    <t>Harpic Toilet Cleaner Pack</t>
  </si>
  <si>
    <t>PRD143</t>
  </si>
  <si>
    <t>SUP033</t>
  </si>
  <si>
    <t>Lizol Dishwash 200g</t>
  </si>
  <si>
    <t>PRD142</t>
  </si>
  <si>
    <t>SUP006</t>
  </si>
  <si>
    <t>Vim Floor Cleaner 1L</t>
  </si>
  <si>
    <t>PRD141</t>
  </si>
  <si>
    <t>SUP009</t>
  </si>
  <si>
    <t>Vim Toilet Cleaner 2kg</t>
  </si>
  <si>
    <t>PRD140</t>
  </si>
  <si>
    <t>Summer</t>
  </si>
  <si>
    <t>SUP044</t>
  </si>
  <si>
    <t>Lizol Toilet Cleaner Combo</t>
  </si>
  <si>
    <t>PRD139</t>
  </si>
  <si>
    <t>SUP085</t>
  </si>
  <si>
    <t>MDH</t>
  </si>
  <si>
    <t>Whole Spices</t>
  </si>
  <si>
    <t>Masala</t>
  </si>
  <si>
    <t>MDH Whole Spices Combo</t>
  </si>
  <si>
    <t>PRD138</t>
  </si>
  <si>
    <t>SUP050</t>
  </si>
  <si>
    <t>Powdered Spices</t>
  </si>
  <si>
    <t>MDH Powdered Spices 200g</t>
  </si>
  <si>
    <t>PRD137</t>
  </si>
  <si>
    <t>SUP068</t>
  </si>
  <si>
    <t>Aachi</t>
  </si>
  <si>
    <t>Aachi Whole Spices 200g v2</t>
  </si>
  <si>
    <t>PRD136</t>
  </si>
  <si>
    <t>SUP001</t>
  </si>
  <si>
    <t>MDH Whole Spices 1L</t>
  </si>
  <si>
    <t>PRD135</t>
  </si>
  <si>
    <t>Aachi Powdered Spices 200g v2</t>
  </si>
  <si>
    <t>PRD134</t>
  </si>
  <si>
    <t>SUP039</t>
  </si>
  <si>
    <t>Aachi Powdered Spices 200g</t>
  </si>
  <si>
    <t>PRD133</t>
  </si>
  <si>
    <t>SUP003</t>
  </si>
  <si>
    <t>Everest</t>
  </si>
  <si>
    <t>Blended Masala</t>
  </si>
  <si>
    <t>Everest Blended Masala 2kg</t>
  </si>
  <si>
    <t>PRD132</t>
  </si>
  <si>
    <t>SUP061</t>
  </si>
  <si>
    <t>Sakthi</t>
  </si>
  <si>
    <t>Sakthi Powdered Spices 250ml</t>
  </si>
  <si>
    <t>PRD131</t>
  </si>
  <si>
    <t>SUP004</t>
  </si>
  <si>
    <t>Aachi Whole Spices 200g</t>
  </si>
  <si>
    <t>PRD130</t>
  </si>
  <si>
    <t>SUP051</t>
  </si>
  <si>
    <t>Everest Powdered Spices Combo</t>
  </si>
  <si>
    <t>PRD129</t>
  </si>
  <si>
    <t>SUP056</t>
  </si>
  <si>
    <t>Aachi Powdered Spices Pack</t>
  </si>
  <si>
    <t>PRD128</t>
  </si>
  <si>
    <t>SUP016</t>
  </si>
  <si>
    <t>Idhayam</t>
  </si>
  <si>
    <t>Gingelly Oil</t>
  </si>
  <si>
    <t>Oil</t>
  </si>
  <si>
    <t>Idhayam Gingelly Oil 1kg</t>
  </si>
  <si>
    <t>PRD127</t>
  </si>
  <si>
    <t>Fortune</t>
  </si>
  <si>
    <t xml:space="preserve">  Fortune Gingelly Oil 1L  </t>
  </si>
  <si>
    <t>PRD126</t>
  </si>
  <si>
    <t>SUP049</t>
  </si>
  <si>
    <t>Gold Winner</t>
  </si>
  <si>
    <t>Coconut Oil</t>
  </si>
  <si>
    <t>Gold Winner Coconut Oil 2kg v2</t>
  </si>
  <si>
    <t>PRD125</t>
  </si>
  <si>
    <t>Gold Winner Coconut Oil 2kg</t>
  </si>
  <si>
    <t>PRD124</t>
  </si>
  <si>
    <t>Fortune Gingelly Oil 200g</t>
  </si>
  <si>
    <t>PRD123</t>
  </si>
  <si>
    <t>SUP080</t>
  </si>
  <si>
    <t>Fortune Gingelly Oil 250ml</t>
  </si>
  <si>
    <t>PRD122</t>
  </si>
  <si>
    <t>Fortune Coconut Oil 500g</t>
  </si>
  <si>
    <t>PRD121</t>
  </si>
  <si>
    <t>SUP020</t>
  </si>
  <si>
    <t>Groundnut Oil</t>
  </si>
  <si>
    <t>Idhayam Groundnut Oil 2kg</t>
  </si>
  <si>
    <t>PRD120</t>
  </si>
  <si>
    <t>Sunflower Oil</t>
  </si>
  <si>
    <t>Gold Winner Sunflower Oil 200g</t>
  </si>
  <si>
    <t>PRD119</t>
  </si>
  <si>
    <t>SUP043</t>
  </si>
  <si>
    <t>Local Farm Fresh Fruits 1kg</t>
  </si>
  <si>
    <t>PRD118</t>
  </si>
  <si>
    <t>SUP045</t>
  </si>
  <si>
    <t>Idhayam Groundnut Oil 1kg</t>
  </si>
  <si>
    <t>PRD117</t>
  </si>
  <si>
    <t>Basmati Rice</t>
  </si>
  <si>
    <t>Rice</t>
  </si>
  <si>
    <t>Aachi Basmati Rice 200g</t>
  </si>
  <si>
    <t>PRD116</t>
  </si>
  <si>
    <t>Ponni Rice</t>
  </si>
  <si>
    <t>Aachi Ponni Rice 500g</t>
  </si>
  <si>
    <t>PRD115</t>
  </si>
  <si>
    <t>Aachi Ponni Rice 250ml</t>
  </si>
  <si>
    <t>PRD114</t>
  </si>
  <si>
    <t>SUP032</t>
  </si>
  <si>
    <t>Aachi Ponni Rice 1kg v2</t>
  </si>
  <si>
    <t>PRD113</t>
  </si>
  <si>
    <t>Aachi Ponni Rice 2kg</t>
  </si>
  <si>
    <t>PRD112</t>
  </si>
  <si>
    <t>Idli Rice</t>
  </si>
  <si>
    <t>Aachi Idli Rice 500g</t>
  </si>
  <si>
    <t>PRD111</t>
  </si>
  <si>
    <t>SUP060</t>
  </si>
  <si>
    <t>India Gate</t>
  </si>
  <si>
    <t>India Gate Ponni Rice 1kg</t>
  </si>
  <si>
    <t>PRD110</t>
  </si>
  <si>
    <t>Aachi Ponni Rice 1kg</t>
  </si>
  <si>
    <t>PRD109</t>
  </si>
  <si>
    <t>SUP076</t>
  </si>
  <si>
    <t>Daawat</t>
  </si>
  <si>
    <t>Daawat Basmati Rice 2kg</t>
  </si>
  <si>
    <t>PRD108</t>
  </si>
  <si>
    <t>Aachi Idli Rice Combo</t>
  </si>
  <si>
    <t>PRD107</t>
  </si>
  <si>
    <t>SUP075</t>
  </si>
  <si>
    <t>Aachi Basmati Rice 2kg</t>
  </si>
  <si>
    <t>PRD106</t>
  </si>
  <si>
    <t>India Gate Basmati Rice 250ml</t>
  </si>
  <si>
    <t>PRD105</t>
  </si>
  <si>
    <t>SUP083</t>
  </si>
  <si>
    <t>Local Farm</t>
  </si>
  <si>
    <t>Fresh Vegetables</t>
  </si>
  <si>
    <t>Vegetables</t>
  </si>
  <si>
    <t>Local Farm Fresh Vegetables Combo</t>
  </si>
  <si>
    <t>PRD104</t>
  </si>
  <si>
    <t>SUP022</t>
  </si>
  <si>
    <t>Organic Fresh</t>
  </si>
  <si>
    <t>Organic Fresh Fresh Vegetables Pack</t>
  </si>
  <si>
    <t>PRD103</t>
  </si>
  <si>
    <t xml:space="preserve">  Local Farm Fresh Vegetables 200g v2  </t>
  </si>
  <si>
    <t>PRD102</t>
  </si>
  <si>
    <t>Organic Fresh Fresh Vegetables 500g</t>
  </si>
  <si>
    <t>PRD101</t>
  </si>
  <si>
    <t>SUP054</t>
  </si>
  <si>
    <t>Organic Fresh Fresh Vegetables 200g v2</t>
  </si>
  <si>
    <t>PRD100</t>
  </si>
  <si>
    <t>Local Farm Fresh Vegetables 200g</t>
  </si>
  <si>
    <t>PRD099</t>
  </si>
  <si>
    <t>SUP030</t>
  </si>
  <si>
    <t>Organic Fresh Fresh Vegetables 250ml</t>
  </si>
  <si>
    <t>PRD098</t>
  </si>
  <si>
    <t xml:space="preserve">  Local Farm Fresh Vegetables 250ml v2  </t>
  </si>
  <si>
    <t>PRD097</t>
  </si>
  <si>
    <t>Local Farm Fresh Vegetables 1L</t>
  </si>
  <si>
    <t>PRD096</t>
  </si>
  <si>
    <t>Organic Fresh Fresh Vegetables 200g</t>
  </si>
  <si>
    <t>PRD095</t>
  </si>
  <si>
    <t>SUP028</t>
  </si>
  <si>
    <t>Organic Fresh Fresh Vegetables 2kg</t>
  </si>
  <si>
    <t>PRD094</t>
  </si>
  <si>
    <t>SUP011</t>
  </si>
  <si>
    <t>Local Farm Fresh Vegetables 250ml</t>
  </si>
  <si>
    <t>PRD093</t>
  </si>
  <si>
    <t>Fresh Fruits</t>
  </si>
  <si>
    <t>Fruits</t>
  </si>
  <si>
    <t>Organic Fresh Fresh Fruits 200g</t>
  </si>
  <si>
    <t>PRD092</t>
  </si>
  <si>
    <t>SUP012</t>
  </si>
  <si>
    <t xml:space="preserve"> Fruits</t>
  </si>
  <si>
    <t>Local Farm Fresh Fruits 250ml</t>
  </si>
  <si>
    <t>PRD091</t>
  </si>
  <si>
    <t>Organic Fresh Fresh Fruits Pack v2</t>
  </si>
  <si>
    <t>PRD090</t>
  </si>
  <si>
    <t>SUP035</t>
  </si>
  <si>
    <t xml:space="preserve">  Organic Fresh Fresh Fruits 500g  </t>
  </si>
  <si>
    <t>PRD089</t>
  </si>
  <si>
    <t>SUP036</t>
  </si>
  <si>
    <t xml:space="preserve">  Local Farm Fresh Fruits Combo v3  </t>
  </si>
  <si>
    <t>PRD088</t>
  </si>
  <si>
    <t>Organic Fresh Fresh Fruits Combo</t>
  </si>
  <si>
    <t>PRD087</t>
  </si>
  <si>
    <t>SUP055</t>
  </si>
  <si>
    <t>Local Farm Fresh Fruits Combo v2</t>
  </si>
  <si>
    <t>PRD086</t>
  </si>
  <si>
    <t>SUP013</t>
  </si>
  <si>
    <t>PRD085</t>
  </si>
  <si>
    <t>In-Active</t>
  </si>
  <si>
    <t>SUP048</t>
  </si>
  <si>
    <t>Local Farm Fresh Fruits Combo</t>
  </si>
  <si>
    <t>PRD084</t>
  </si>
  <si>
    <t>SUP059</t>
  </si>
  <si>
    <t>FRUITS</t>
  </si>
  <si>
    <t>Organic Fresh Fresh Fruits 2kg</t>
  </si>
  <si>
    <t>PRD083</t>
  </si>
  <si>
    <t>Organic Fresh Fresh Fruits Pack</t>
  </si>
  <si>
    <t>PRD082</t>
  </si>
  <si>
    <t>SUP082</t>
  </si>
  <si>
    <t>Eveready</t>
  </si>
  <si>
    <t>Batteries</t>
  </si>
  <si>
    <t>Household</t>
  </si>
  <si>
    <t>Eveready Batteries 250ml</t>
  </si>
  <si>
    <t>PRD081</t>
  </si>
  <si>
    <t>SUP010</t>
  </si>
  <si>
    <t>Kitchenware</t>
  </si>
  <si>
    <t>Vim Kitchenware 1kg</t>
  </si>
  <si>
    <t>PRD080</t>
  </si>
  <si>
    <t>Detergent</t>
  </si>
  <si>
    <t>Eveready Detergent Pack</t>
  </si>
  <si>
    <t>PRD079</t>
  </si>
  <si>
    <t>SUP065</t>
  </si>
  <si>
    <t>Vim Kitchenware Combo</t>
  </si>
  <si>
    <t>PRD078</t>
  </si>
  <si>
    <t>Inactve</t>
  </si>
  <si>
    <t>SUP015</t>
  </si>
  <si>
    <t>Tissue</t>
  </si>
  <si>
    <t>Vim Tissue 500g</t>
  </si>
  <si>
    <t>PRD077</t>
  </si>
  <si>
    <t>SUP042</t>
  </si>
  <si>
    <t>Surf Excel</t>
  </si>
  <si>
    <t>Surf Excel Tissue Combo v2</t>
  </si>
  <si>
    <t>PRD076</t>
  </si>
  <si>
    <t>PRD075</t>
  </si>
  <si>
    <t>SUP077</t>
  </si>
  <si>
    <t>Surf Excel Tissue Combo</t>
  </si>
  <si>
    <t>PRD074</t>
  </si>
  <si>
    <t>SUP071</t>
  </si>
  <si>
    <t>Harvest Gold Rusk 1kg</t>
  </si>
  <si>
    <t>PRD073</t>
  </si>
  <si>
    <t>Eveready Detergent 1L</t>
  </si>
  <si>
    <t>PRD072</t>
  </si>
  <si>
    <t>Eveready Batteries Combo</t>
  </si>
  <si>
    <t>PRD071</t>
  </si>
  <si>
    <t>SUP047</t>
  </si>
  <si>
    <t>Surf Excel Batteries 2kg</t>
  </si>
  <si>
    <t>PRD070</t>
  </si>
  <si>
    <t>Patanjali</t>
  </si>
  <si>
    <t>Shampoo</t>
  </si>
  <si>
    <t>Personal Care</t>
  </si>
  <si>
    <t>Patanjali Shampoo 1kg</t>
  </si>
  <si>
    <t>PRD069</t>
  </si>
  <si>
    <t>SUP070</t>
  </si>
  <si>
    <t xml:space="preserve">  Patanjali Shampoo 2kg  </t>
  </si>
  <si>
    <t>PRD068</t>
  </si>
  <si>
    <t>Dove</t>
  </si>
  <si>
    <t>Dove Shampoo 500g</t>
  </si>
  <si>
    <t>PRD067</t>
  </si>
  <si>
    <t>SUP053</t>
  </si>
  <si>
    <t>Dove Shampoo 2kg</t>
  </si>
  <si>
    <t>PRD066</t>
  </si>
  <si>
    <t>SUP072</t>
  </si>
  <si>
    <t>Toothpaste</t>
  </si>
  <si>
    <t>Dove Toothpaste 1L</t>
  </si>
  <si>
    <t>PRD065</t>
  </si>
  <si>
    <t>Soap</t>
  </si>
  <si>
    <t>Patanjali Soap Combo</t>
  </si>
  <si>
    <t>PRD064</t>
  </si>
  <si>
    <t>SUP034</t>
  </si>
  <si>
    <t>Patanjali Shampoo Combo</t>
  </si>
  <si>
    <t>PRD063</t>
  </si>
  <si>
    <t>Himalaya</t>
  </si>
  <si>
    <t>Skin Care</t>
  </si>
  <si>
    <t>Himalaya Skin Care Combo</t>
  </si>
  <si>
    <t>PRD062</t>
  </si>
  <si>
    <t>Colgate</t>
  </si>
  <si>
    <t>Colgate Shampoo Combo</t>
  </si>
  <si>
    <t>PRD061</t>
  </si>
  <si>
    <t>Himalaya Soap 250ml</t>
  </si>
  <si>
    <t>PRD060</t>
  </si>
  <si>
    <t>Colgate Toothpaste 1kg</t>
  </si>
  <si>
    <t>PRD059</t>
  </si>
  <si>
    <t>Himalaya Skin Care 1L</t>
  </si>
  <si>
    <t>PRD058</t>
  </si>
  <si>
    <t>SUP007</t>
  </si>
  <si>
    <t>Parle</t>
  </si>
  <si>
    <t>Chocolates</t>
  </si>
  <si>
    <t>Snacks</t>
  </si>
  <si>
    <t>Parle Chocolates 500g</t>
  </si>
  <si>
    <t>PRD057</t>
  </si>
  <si>
    <t>SUP038</t>
  </si>
  <si>
    <t>Cadbury</t>
  </si>
  <si>
    <t>Namkeen</t>
  </si>
  <si>
    <t>Cadbury Namkeen Combo</t>
  </si>
  <si>
    <t>PRD056</t>
  </si>
  <si>
    <t>SUP062</t>
  </si>
  <si>
    <t>Biscuits</t>
  </si>
  <si>
    <t>Cadbury Biscuits Pack</t>
  </si>
  <si>
    <t>PRD055</t>
  </si>
  <si>
    <t>Lays</t>
  </si>
  <si>
    <t>Lays Namkeen 2kg</t>
  </si>
  <si>
    <t>PRD054</t>
  </si>
  <si>
    <t>Cadbury Namkeen Pack</t>
  </si>
  <si>
    <t>PRD053</t>
  </si>
  <si>
    <t>Lays Namkeen 200g</t>
  </si>
  <si>
    <t>PRD052</t>
  </si>
  <si>
    <t>Cadbury Biscuits 250ml</t>
  </si>
  <si>
    <t>PRD051</t>
  </si>
  <si>
    <t>Parle Namkeen 500g</t>
  </si>
  <si>
    <t>PRD050</t>
  </si>
  <si>
    <t>Chips</t>
  </si>
  <si>
    <t>Cadbury Chips 1kg</t>
  </si>
  <si>
    <t>PRD049</t>
  </si>
  <si>
    <t>SUP037</t>
  </si>
  <si>
    <t>Lays Chocolates 1kg</t>
  </si>
  <si>
    <t>PRD048</t>
  </si>
  <si>
    <t>Lays Chocolates Combo</t>
  </si>
  <si>
    <t>PRD047</t>
  </si>
  <si>
    <t>ITC</t>
  </si>
  <si>
    <t>Ice Cream</t>
  </si>
  <si>
    <t>Frozen Foods</t>
  </si>
  <si>
    <t>ITC Ice Cream 250ml</t>
  </si>
  <si>
    <t>PRD046</t>
  </si>
  <si>
    <t>SUP002</t>
  </si>
  <si>
    <t>McCain</t>
  </si>
  <si>
    <t>McCain Ice Cream 2kg</t>
  </si>
  <si>
    <t>PRD045</t>
  </si>
  <si>
    <t>Frozen Vegetables</t>
  </si>
  <si>
    <t>ITC Frozen Vegetables 250ml v2</t>
  </si>
  <si>
    <t>PRD044</t>
  </si>
  <si>
    <t>McCain Ice Cream 200g</t>
  </si>
  <si>
    <t>PRD043</t>
  </si>
  <si>
    <t>SUP031</t>
  </si>
  <si>
    <t>Amul</t>
  </si>
  <si>
    <t>Amul Frozen Vegetables 2kg</t>
  </si>
  <si>
    <t>PRD042</t>
  </si>
  <si>
    <t>Amul Frozen Vegetables 250ml</t>
  </si>
  <si>
    <t>PRD041</t>
  </si>
  <si>
    <t>Amul Frozen Vegetables 500g</t>
  </si>
  <si>
    <t>PRD040</t>
  </si>
  <si>
    <t>ITC Frozen Vegetables 250ml</t>
  </si>
  <si>
    <t>PRD039</t>
  </si>
  <si>
    <t>FROZEN FOODS</t>
  </si>
  <si>
    <t>Amul Ice Cream 2kg</t>
  </si>
  <si>
    <t>PRD038</t>
  </si>
  <si>
    <t>SUP066</t>
  </si>
  <si>
    <t>Frozen Snacks</t>
  </si>
  <si>
    <t>ITC Frozen Snacks 250ml</t>
  </si>
  <si>
    <t>PRD037</t>
  </si>
  <si>
    <t xml:space="preserve"> Frozen Foods</t>
  </si>
  <si>
    <t>ITC Ice Cream 500g</t>
  </si>
  <si>
    <t>PRD036</t>
  </si>
  <si>
    <t>Coca-Cola</t>
  </si>
  <si>
    <t>Coffee</t>
  </si>
  <si>
    <t>Beverages</t>
  </si>
  <si>
    <t>Coca-Cola Coffee 500g</t>
  </si>
  <si>
    <t>PRD035</t>
  </si>
  <si>
    <t>Nescafe</t>
  </si>
  <si>
    <t>Nescafe Coffee 500g</t>
  </si>
  <si>
    <t>PRD034</t>
  </si>
  <si>
    <t>Bisleri</t>
  </si>
  <si>
    <t>Soft Drinks</t>
  </si>
  <si>
    <t>Bisleri Soft Drinks 2kg</t>
  </si>
  <si>
    <t>PRD033</t>
  </si>
  <si>
    <t>SUP052</t>
  </si>
  <si>
    <t>Coca-Cola Coffee Combo</t>
  </si>
  <si>
    <t>PRD032</t>
  </si>
  <si>
    <t>Nescafe Coffee Pack</t>
  </si>
  <si>
    <t>PRD031</t>
  </si>
  <si>
    <t>Tea</t>
  </si>
  <si>
    <t>Nescafe Tea Combo</t>
  </si>
  <si>
    <t>PRD030</t>
  </si>
  <si>
    <t>Pepsi</t>
  </si>
  <si>
    <t>Pepsi Tea 200g</t>
  </si>
  <si>
    <t>PRD029</t>
  </si>
  <si>
    <t>Tata Tea</t>
  </si>
  <si>
    <t>Tata Tea Soft Drinks 500g</t>
  </si>
  <si>
    <t>PRD028</t>
  </si>
  <si>
    <t>SUP074</t>
  </si>
  <si>
    <t>Coca-Cola Tea 1kg</t>
  </si>
  <si>
    <t>PRD027</t>
  </si>
  <si>
    <t>Nescafe Coffee 1kg</t>
  </si>
  <si>
    <t>PRD026</t>
  </si>
  <si>
    <t>Nescafe Soft Drinks Pack</t>
  </si>
  <si>
    <t>PRD025</t>
  </si>
  <si>
    <t>Aavin</t>
  </si>
  <si>
    <t>Milk</t>
  </si>
  <si>
    <t>Dairy</t>
  </si>
  <si>
    <t>Aavin Milk Pack v2</t>
  </si>
  <si>
    <t>PRD024</t>
  </si>
  <si>
    <t>SUP019</t>
  </si>
  <si>
    <t>Butter</t>
  </si>
  <si>
    <t>Amul Butter 1L</t>
  </si>
  <si>
    <t>PRD023</t>
  </si>
  <si>
    <t>Aavin Milk Pack</t>
  </si>
  <si>
    <t>PRD022</t>
  </si>
  <si>
    <t>Milky Mist</t>
  </si>
  <si>
    <t>Milky Mist Butter Pack</t>
  </si>
  <si>
    <t>PRD021</t>
  </si>
  <si>
    <t>Aavin Milk 1L</t>
  </si>
  <si>
    <t>PRD020</t>
  </si>
  <si>
    <t>Paneer</t>
  </si>
  <si>
    <t>Amul Paneer 1kg</t>
  </si>
  <si>
    <t>PRD019</t>
  </si>
  <si>
    <t>Cheese</t>
  </si>
  <si>
    <t>Aavin Cheese 200g</t>
  </si>
  <si>
    <t>PRD018</t>
  </si>
  <si>
    <t>Nestle</t>
  </si>
  <si>
    <t>Curd</t>
  </si>
  <si>
    <t>Nestle Curd 1kg</t>
  </si>
  <si>
    <t>PRD017</t>
  </si>
  <si>
    <t>Actve</t>
  </si>
  <si>
    <t>Milky Mist Milk 2kg</t>
  </si>
  <si>
    <t>PRD016</t>
  </si>
  <si>
    <t>Nestle Butter 250ml</t>
  </si>
  <si>
    <t>PRD015</t>
  </si>
  <si>
    <t>Milky Mist Curd 1kg</t>
  </si>
  <si>
    <t>PRD014</t>
  </si>
  <si>
    <t xml:space="preserve">  Amul Paneer 250ml  </t>
  </si>
  <si>
    <t>PRD013</t>
  </si>
  <si>
    <t>Harvest Gold</t>
  </si>
  <si>
    <t>Rusk</t>
  </si>
  <si>
    <t>Bakery</t>
  </si>
  <si>
    <t>PRD012</t>
  </si>
  <si>
    <t>Britannia</t>
  </si>
  <si>
    <t>Britannia Rusk 1L</t>
  </si>
  <si>
    <t>PRD011</t>
  </si>
  <si>
    <t>SUP041</t>
  </si>
  <si>
    <t>Cookies</t>
  </si>
  <si>
    <t xml:space="preserve"> Bakery</t>
  </si>
  <si>
    <t>Harvest Gold Cookies Pack</t>
  </si>
  <si>
    <t>PRD010</t>
  </si>
  <si>
    <t>SUP046</t>
  </si>
  <si>
    <t>Buns</t>
  </si>
  <si>
    <t>Harvest Gold Buns 200g</t>
  </si>
  <si>
    <t>PRD009</t>
  </si>
  <si>
    <t>Britannia Cookies 200g</t>
  </si>
  <si>
    <t>PRD008</t>
  </si>
  <si>
    <t>Britannia Buns 2kg v2</t>
  </si>
  <si>
    <t>PRD007</t>
  </si>
  <si>
    <t>actiive</t>
  </si>
  <si>
    <t>Harvest Gold Cookies 500g</t>
  </si>
  <si>
    <t>PRD006</t>
  </si>
  <si>
    <t>Amul Paneer 250ml</t>
  </si>
  <si>
    <t>PRD005</t>
  </si>
  <si>
    <t>Britannia Buns 2kg</t>
  </si>
  <si>
    <t>PRD004</t>
  </si>
  <si>
    <t>Harvest Gold Buns Combo</t>
  </si>
  <si>
    <t>PRD003</t>
  </si>
  <si>
    <t>Britannia Buns Pack</t>
  </si>
  <si>
    <t>PRD002</t>
  </si>
  <si>
    <t>Local Bakers</t>
  </si>
  <si>
    <t>Local Bakers Buns 1kg</t>
  </si>
  <si>
    <t>PRD001</t>
  </si>
  <si>
    <t>Status</t>
  </si>
  <si>
    <t>Season</t>
  </si>
  <si>
    <t>Supplier_ID</t>
  </si>
  <si>
    <t>Selling_Price</t>
  </si>
  <si>
    <t>Cost_Price</t>
  </si>
  <si>
    <t>Brand</t>
  </si>
  <si>
    <t>Subcategory</t>
  </si>
  <si>
    <t>Category</t>
  </si>
  <si>
    <t>Product_Name</t>
  </si>
  <si>
    <t>Product_ID</t>
  </si>
  <si>
    <t>Column_name</t>
  </si>
  <si>
    <t>Issue_Description</t>
  </si>
  <si>
    <t>Columns_affected</t>
  </si>
  <si>
    <t>Changes_done</t>
  </si>
  <si>
    <t>Blanks</t>
  </si>
  <si>
    <t>Highlighted</t>
  </si>
  <si>
    <t>Different Formats</t>
  </si>
  <si>
    <t xml:space="preserve">Fixed using Mapping </t>
  </si>
  <si>
    <t>Inactive</t>
  </si>
  <si>
    <t>In-active</t>
  </si>
  <si>
    <t>Status2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</si>
</sst>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1" fillId="3" borderId="0" xfId="0" applyFont="1" applyFill="1"/>
    <xf numFmtId="0" fontId="0" fillId="0" borderId="0" xfId="0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D1D58-74B5-4A3D-B534-93BFB62C73B5}" name="Table1" displayName="Table1" ref="A1:K151" totalsRowShown="0" headerRowDxfId="12" dataDxfId="11">
  <autoFilter ref="A1:K151" xr:uid="{AECD1D58-74B5-4A3D-B534-93BFB62C73B5}"/>
  <tableColumns count="11">
    <tableColumn id="1" xr3:uid="{6A5350A9-9968-46C4-B3C6-130C09F8864F}" name="Product_ID" dataDxfId="10"/>
    <tableColumn id="2" xr3:uid="{446D5102-4E26-4B3E-833E-E8D475B7200E}" name="Product_Name" dataDxfId="9"/>
    <tableColumn id="3" xr3:uid="{D675CC66-306E-43D8-A726-962F9B7AA5B3}" name="Category" dataDxfId="8"/>
    <tableColumn id="4" xr3:uid="{64872C1B-D6D8-4BA3-8DD2-65F807836053}" name="Subcategory" dataDxfId="7"/>
    <tableColumn id="5" xr3:uid="{6E05A3A4-43FA-4C17-BB11-D9DD1F3E38DB}" name="Brand" dataDxfId="6"/>
    <tableColumn id="6" xr3:uid="{38E1FB40-4D9A-4FAF-8FEE-A85E5629E637}" name="Cost_Price" dataDxfId="5"/>
    <tableColumn id="7" xr3:uid="{7E9EF3A0-D0B3-4757-A03B-E289B886FDAB}" name="Selling_Price" dataDxfId="4"/>
    <tableColumn id="8" xr3:uid="{DA6166B7-8385-47D1-918A-7FAE74B5AD53}" name="Supplier_ID" dataDxfId="3"/>
    <tableColumn id="9" xr3:uid="{B224FB3F-E267-49FA-9477-2D817BC1169B}" name="Season" dataDxfId="2"/>
    <tableColumn id="11" xr3:uid="{62198AEC-6FF5-4DF4-B62B-5BEA2F741B44}" name="Status" dataDxfId="0">
      <calculatedColumnFormula>_xlfn.XLOOKUP(TRIM(Table1[[#This Row],[Status2]]),Data_profiling!$A$9:$A$14,Data_profiling!$B$9:$B$14,"Checkmanually")</calculatedColumnFormula>
    </tableColumn>
    <tableColumn id="10" xr3:uid="{2BDD2FBE-CCEC-4E3E-A1BA-D37693288B8C}" name="Status2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CBF3-A630-420B-9415-5BFE31CB5CE5}">
  <dimension ref="A1:K151"/>
  <sheetViews>
    <sheetView tabSelected="1" workbookViewId="0">
      <selection activeCell="J6" sqref="J6"/>
    </sheetView>
  </sheetViews>
  <sheetFormatPr defaultRowHeight="14.5" x14ac:dyDescent="0.35"/>
  <cols>
    <col min="1" max="1" width="14.453125" customWidth="1"/>
    <col min="2" max="2" width="40" customWidth="1"/>
    <col min="3" max="3" width="15" customWidth="1"/>
    <col min="4" max="4" width="19" customWidth="1"/>
    <col min="5" max="5" width="15" customWidth="1"/>
    <col min="6" max="6" width="14.26953125" customWidth="1"/>
    <col min="7" max="7" width="16.54296875" customWidth="1"/>
    <col min="8" max="8" width="15" customWidth="1"/>
    <col min="9" max="9" width="12" customWidth="1"/>
    <col min="10" max="10" width="22.26953125" customWidth="1"/>
    <col min="11" max="11" width="0" hidden="1" customWidth="1"/>
  </cols>
  <sheetData>
    <row r="1" spans="1:11" x14ac:dyDescent="0.35">
      <c r="A1" s="3" t="s">
        <v>481</v>
      </c>
      <c r="B1" s="3" t="s">
        <v>480</v>
      </c>
      <c r="C1" s="3" t="s">
        <v>479</v>
      </c>
      <c r="D1" s="3" t="s">
        <v>478</v>
      </c>
      <c r="E1" s="3" t="s">
        <v>477</v>
      </c>
      <c r="F1" s="3" t="s">
        <v>476</v>
      </c>
      <c r="G1" s="3" t="s">
        <v>475</v>
      </c>
      <c r="H1" s="3" t="s">
        <v>474</v>
      </c>
      <c r="I1" s="3" t="s">
        <v>473</v>
      </c>
      <c r="J1" s="3" t="s">
        <v>472</v>
      </c>
      <c r="K1" s="3" t="s">
        <v>492</v>
      </c>
    </row>
    <row r="2" spans="1:11" x14ac:dyDescent="0.35">
      <c r="A2" s="1" t="s">
        <v>471</v>
      </c>
      <c r="B2" s="1" t="s">
        <v>470</v>
      </c>
      <c r="C2" s="1" t="s">
        <v>440</v>
      </c>
      <c r="D2" s="1" t="s">
        <v>451</v>
      </c>
      <c r="E2" s="1" t="s">
        <v>469</v>
      </c>
      <c r="F2" s="2">
        <v>184.74</v>
      </c>
      <c r="G2" s="2">
        <v>299.73</v>
      </c>
      <c r="H2" s="1" t="s">
        <v>220</v>
      </c>
      <c r="I2" s="1" t="s">
        <v>45</v>
      </c>
      <c r="J2" s="1" t="str">
        <f>_xlfn.XLOOKUP(TRIM(Table1[[#This Row],[Status2]]),Data_profiling!$A$9:$A$14,Data_profiling!$B$9:$B$14,"Checkmanually")</f>
        <v>Active</v>
      </c>
      <c r="K2" s="1" t="s">
        <v>0</v>
      </c>
    </row>
    <row r="3" spans="1:11" x14ac:dyDescent="0.35">
      <c r="A3" s="1" t="s">
        <v>468</v>
      </c>
      <c r="B3" s="1" t="s">
        <v>467</v>
      </c>
      <c r="C3" s="1" t="s">
        <v>440</v>
      </c>
      <c r="D3" s="1" t="s">
        <v>451</v>
      </c>
      <c r="E3" s="1" t="s">
        <v>442</v>
      </c>
      <c r="F3" s="2">
        <v>254.05</v>
      </c>
      <c r="G3" s="2">
        <v>440.5</v>
      </c>
      <c r="H3" s="1" t="s">
        <v>313</v>
      </c>
      <c r="I3" s="1" t="s">
        <v>15</v>
      </c>
      <c r="J3" s="1" t="str">
        <f>_xlfn.XLOOKUP(TRIM(Table1[[#This Row],[Status2]]),Data_profiling!$A$9:$A$14,Data_profiling!$B$9:$B$14,"Checkmanually")</f>
        <v>Active</v>
      </c>
      <c r="K3" s="1" t="s">
        <v>0</v>
      </c>
    </row>
    <row r="4" spans="1:11" x14ac:dyDescent="0.35">
      <c r="A4" s="1" t="s">
        <v>466</v>
      </c>
      <c r="B4" s="1" t="s">
        <v>465</v>
      </c>
      <c r="C4" s="1" t="s">
        <v>440</v>
      </c>
      <c r="D4" s="1" t="s">
        <v>451</v>
      </c>
      <c r="E4" s="1" t="s">
        <v>438</v>
      </c>
      <c r="F4" s="2">
        <v>343.65</v>
      </c>
      <c r="G4" s="2">
        <v>589.75</v>
      </c>
      <c r="H4" s="1" t="s">
        <v>197</v>
      </c>
      <c r="I4" s="1" t="s">
        <v>25</v>
      </c>
      <c r="J4" s="1" t="str">
        <f>_xlfn.XLOOKUP(TRIM(Table1[[#This Row],[Status2]]),Data_profiling!$A$9:$A$14,Data_profiling!$B$9:$B$14,"Checkmanually")</f>
        <v>Active</v>
      </c>
      <c r="K4" s="1" t="s">
        <v>0</v>
      </c>
    </row>
    <row r="5" spans="1:11" x14ac:dyDescent="0.35">
      <c r="A5" s="1" t="s">
        <v>464</v>
      </c>
      <c r="B5" s="1" t="s">
        <v>463</v>
      </c>
      <c r="C5" s="1" t="s">
        <v>440</v>
      </c>
      <c r="D5" s="1" t="s">
        <v>451</v>
      </c>
      <c r="E5" s="1" t="s">
        <v>442</v>
      </c>
      <c r="F5" s="2">
        <v>236.54</v>
      </c>
      <c r="G5" s="2">
        <v>398.25</v>
      </c>
      <c r="H5" s="1" t="s">
        <v>46</v>
      </c>
      <c r="I5" s="1" t="s">
        <v>1</v>
      </c>
      <c r="J5" s="1" t="str">
        <f>_xlfn.XLOOKUP(TRIM(Table1[[#This Row],[Status2]]),Data_profiling!$A$9:$A$14,Data_profiling!$B$9:$B$14,"Checkmanually")</f>
        <v>Active</v>
      </c>
      <c r="K5" s="1" t="s">
        <v>0</v>
      </c>
    </row>
    <row r="6" spans="1:11" x14ac:dyDescent="0.35">
      <c r="A6" s="1" t="s">
        <v>462</v>
      </c>
      <c r="B6" s="1" t="s">
        <v>461</v>
      </c>
      <c r="C6" s="1" t="s">
        <v>440</v>
      </c>
      <c r="D6" s="1" t="s">
        <v>451</v>
      </c>
      <c r="E6" s="1" t="s">
        <v>438</v>
      </c>
      <c r="F6" s="2">
        <v>205.27</v>
      </c>
      <c r="G6" s="2">
        <v>332.74</v>
      </c>
      <c r="H6" s="1" t="s">
        <v>286</v>
      </c>
      <c r="I6" s="1" t="s">
        <v>25</v>
      </c>
      <c r="J6" s="1" t="str">
        <f>_xlfn.XLOOKUP(TRIM(Table1[[#This Row],[Status2]]),Data_profiling!$A$9:$A$14,Data_profiling!$B$9:$B$14,"Checkmanually")</f>
        <v>Active</v>
      </c>
      <c r="K6" s="1" t="s">
        <v>0</v>
      </c>
    </row>
    <row r="7" spans="1:11" x14ac:dyDescent="0.35">
      <c r="A7" s="1" t="s">
        <v>460</v>
      </c>
      <c r="B7" s="1" t="s">
        <v>459</v>
      </c>
      <c r="C7" s="1" t="s">
        <v>440</v>
      </c>
      <c r="D7" s="1" t="s">
        <v>446</v>
      </c>
      <c r="E7" s="1" t="s">
        <v>438</v>
      </c>
      <c r="F7" s="2">
        <v>216.32</v>
      </c>
      <c r="G7" s="2">
        <v>343.56</v>
      </c>
      <c r="H7" s="1" t="s">
        <v>350</v>
      </c>
      <c r="I7" s="1" t="s">
        <v>15</v>
      </c>
      <c r="J7" s="1" t="str">
        <f>_xlfn.XLOOKUP(TRIM(Table1[[#This Row],[Status2]]),Data_profiling!$A$9:$A$14,Data_profiling!$B$9:$B$14,"Checkmanually")</f>
        <v>Active</v>
      </c>
      <c r="K7" s="1" t="s">
        <v>458</v>
      </c>
    </row>
    <row r="8" spans="1:11" x14ac:dyDescent="0.35">
      <c r="A8" s="1" t="s">
        <v>457</v>
      </c>
      <c r="B8" s="1" t="s">
        <v>456</v>
      </c>
      <c r="C8" s="1" t="s">
        <v>440</v>
      </c>
      <c r="D8" s="1" t="s">
        <v>451</v>
      </c>
      <c r="E8" s="1" t="s">
        <v>442</v>
      </c>
      <c r="F8" s="2">
        <v>265.44</v>
      </c>
      <c r="G8" s="2">
        <v>437.49</v>
      </c>
      <c r="H8" s="1" t="s">
        <v>71</v>
      </c>
      <c r="I8" s="1" t="s">
        <v>1</v>
      </c>
      <c r="J8" s="1" t="str">
        <f>_xlfn.XLOOKUP(TRIM(Table1[[#This Row],[Status2]]),Data_profiling!$A$9:$A$14,Data_profiling!$B$9:$B$14,"Checkmanually")</f>
        <v>Active</v>
      </c>
      <c r="K8" s="1" t="s">
        <v>0</v>
      </c>
    </row>
    <row r="9" spans="1:11" x14ac:dyDescent="0.35">
      <c r="A9" s="1" t="s">
        <v>455</v>
      </c>
      <c r="B9" s="1" t="s">
        <v>454</v>
      </c>
      <c r="C9" s="1" t="s">
        <v>440</v>
      </c>
      <c r="D9" s="1" t="s">
        <v>446</v>
      </c>
      <c r="E9" s="1" t="s">
        <v>442</v>
      </c>
      <c r="F9" s="2">
        <v>282.88</v>
      </c>
      <c r="G9" s="2">
        <v>455.79</v>
      </c>
      <c r="H9" s="1" t="s">
        <v>154</v>
      </c>
      <c r="I9" s="1" t="s">
        <v>25</v>
      </c>
      <c r="J9" s="1" t="str">
        <f>_xlfn.XLOOKUP(TRIM(Table1[[#This Row],[Status2]]),Data_profiling!$A$9:$A$14,Data_profiling!$B$9:$B$14,"Checkmanually")</f>
        <v>Active</v>
      </c>
      <c r="K9" s="1" t="s">
        <v>0</v>
      </c>
    </row>
    <row r="10" spans="1:11" x14ac:dyDescent="0.35">
      <c r="A10" s="1" t="s">
        <v>453</v>
      </c>
      <c r="B10" s="1" t="s">
        <v>452</v>
      </c>
      <c r="C10" s="1" t="s">
        <v>440</v>
      </c>
      <c r="D10" s="1" t="s">
        <v>451</v>
      </c>
      <c r="E10" s="1" t="s">
        <v>438</v>
      </c>
      <c r="F10" s="2">
        <v>398.72</v>
      </c>
      <c r="G10" s="2">
        <v>661.91</v>
      </c>
      <c r="H10" s="1" t="s">
        <v>450</v>
      </c>
      <c r="I10" s="1" t="s">
        <v>15</v>
      </c>
      <c r="J10" s="1" t="str">
        <f>_xlfn.XLOOKUP(TRIM(Table1[[#This Row],[Status2]]),Data_profiling!$A$9:$A$14,Data_profiling!$B$9:$B$14,"Checkmanually")</f>
        <v>Active</v>
      </c>
      <c r="K10" s="1" t="s">
        <v>0</v>
      </c>
    </row>
    <row r="11" spans="1:11" x14ac:dyDescent="0.35">
      <c r="A11" s="1" t="s">
        <v>449</v>
      </c>
      <c r="B11" s="1" t="s">
        <v>448</v>
      </c>
      <c r="C11" s="1" t="s">
        <v>447</v>
      </c>
      <c r="D11" s="1" t="s">
        <v>446</v>
      </c>
      <c r="E11" s="1" t="s">
        <v>438</v>
      </c>
      <c r="F11" s="2">
        <v>107.6</v>
      </c>
      <c r="G11" s="2">
        <v>182.3</v>
      </c>
      <c r="H11" s="1" t="s">
        <v>445</v>
      </c>
      <c r="I11" s="1" t="s">
        <v>1</v>
      </c>
      <c r="J11" s="1" t="str">
        <f>_xlfn.XLOOKUP(TRIM(Table1[[#This Row],[Status2]]),Data_profiling!$A$9:$A$14,Data_profiling!$B$9:$B$14,"Checkmanually")</f>
        <v>Active</v>
      </c>
      <c r="K11" s="1" t="s">
        <v>0</v>
      </c>
    </row>
    <row r="12" spans="1:11" x14ac:dyDescent="0.35">
      <c r="A12" s="1" t="s">
        <v>444</v>
      </c>
      <c r="B12" s="1" t="s">
        <v>443</v>
      </c>
      <c r="C12" s="1" t="s">
        <v>440</v>
      </c>
      <c r="D12" s="1" t="s">
        <v>439</v>
      </c>
      <c r="E12" s="1" t="s">
        <v>442</v>
      </c>
      <c r="F12" s="2">
        <v>102.23</v>
      </c>
      <c r="G12" s="2">
        <v>168.36</v>
      </c>
      <c r="H12" s="1" t="s">
        <v>148</v>
      </c>
      <c r="I12" s="1" t="s">
        <v>20</v>
      </c>
      <c r="J12" s="1" t="str">
        <f>_xlfn.XLOOKUP(TRIM(Table1[[#This Row],[Status2]]),Data_profiling!$A$9:$A$14,Data_profiling!$B$9:$B$14,"Checkmanually")</f>
        <v>Active</v>
      </c>
      <c r="K12" s="1" t="s">
        <v>0</v>
      </c>
    </row>
    <row r="13" spans="1:11" x14ac:dyDescent="0.35">
      <c r="A13" s="1" t="s">
        <v>441</v>
      </c>
      <c r="B13" s="1" t="s">
        <v>256</v>
      </c>
      <c r="C13" s="1" t="s">
        <v>440</v>
      </c>
      <c r="D13" s="1" t="s">
        <v>439</v>
      </c>
      <c r="E13" s="1" t="s">
        <v>438</v>
      </c>
      <c r="F13" s="2">
        <v>336.4</v>
      </c>
      <c r="G13" s="2">
        <v>541.35</v>
      </c>
      <c r="H13" s="1" t="s">
        <v>262</v>
      </c>
      <c r="I13" s="1" t="s">
        <v>45</v>
      </c>
      <c r="J13" s="1" t="str">
        <f>_xlfn.XLOOKUP(TRIM(Table1[[#This Row],[Status2]]),Data_profiling!$A$9:$A$14,Data_profiling!$B$9:$B$14,"Checkmanually")</f>
        <v>Active</v>
      </c>
      <c r="K13" s="1" t="s">
        <v>0</v>
      </c>
    </row>
    <row r="14" spans="1:11" x14ac:dyDescent="0.35">
      <c r="A14" s="1" t="s">
        <v>437</v>
      </c>
      <c r="B14" s="1" t="s">
        <v>436</v>
      </c>
      <c r="C14" s="1" t="s">
        <v>405</v>
      </c>
      <c r="D14" s="1" t="s">
        <v>419</v>
      </c>
      <c r="E14" s="1" t="s">
        <v>351</v>
      </c>
      <c r="F14" s="2">
        <v>124.24</v>
      </c>
      <c r="G14" s="2">
        <v>161.03</v>
      </c>
      <c r="H14" s="1" t="s">
        <v>255</v>
      </c>
      <c r="I14" s="1" t="s">
        <v>25</v>
      </c>
      <c r="J14" s="1" t="str">
        <f>_xlfn.XLOOKUP(TRIM(Table1[[#This Row],[Status2]]),Data_profiling!$A$9:$A$14,Data_profiling!$B$9:$B$14,"Checkmanually")</f>
        <v>Active</v>
      </c>
      <c r="K14" s="1" t="s">
        <v>0</v>
      </c>
    </row>
    <row r="15" spans="1:11" x14ac:dyDescent="0.35">
      <c r="A15" s="1" t="s">
        <v>435</v>
      </c>
      <c r="B15" s="1" t="s">
        <v>434</v>
      </c>
      <c r="C15" s="1" t="s">
        <v>405</v>
      </c>
      <c r="D15" s="1" t="s">
        <v>426</v>
      </c>
      <c r="E15" s="1" t="s">
        <v>414</v>
      </c>
      <c r="F15" s="2">
        <v>351.63</v>
      </c>
      <c r="G15" s="2">
        <v>434.65</v>
      </c>
      <c r="H15" s="1" t="s">
        <v>76</v>
      </c>
      <c r="I15" s="1" t="s">
        <v>15</v>
      </c>
      <c r="J15" s="1" t="str">
        <f>_xlfn.XLOOKUP(TRIM(Table1[[#This Row],[Status2]]),Data_profiling!$A$9:$A$14,Data_profiling!$B$9:$B$14,"Checkmanually")</f>
        <v>Active</v>
      </c>
      <c r="K15" s="1" t="s">
        <v>0</v>
      </c>
    </row>
    <row r="16" spans="1:11" x14ac:dyDescent="0.35">
      <c r="A16" s="1" t="s">
        <v>433</v>
      </c>
      <c r="B16" s="1" t="s">
        <v>432</v>
      </c>
      <c r="C16" s="1" t="s">
        <v>405</v>
      </c>
      <c r="D16" s="1" t="s">
        <v>409</v>
      </c>
      <c r="E16" s="1" t="s">
        <v>425</v>
      </c>
      <c r="F16" s="2">
        <v>386.89</v>
      </c>
      <c r="G16" s="2">
        <v>459.58</v>
      </c>
      <c r="H16" s="1" t="s">
        <v>313</v>
      </c>
      <c r="I16" s="1" t="s">
        <v>1</v>
      </c>
      <c r="J16" s="1" t="str">
        <f>_xlfn.XLOOKUP(TRIM(Table1[[#This Row],[Status2]]),Data_profiling!$A$9:$A$14,Data_profiling!$B$9:$B$14,"Checkmanually")</f>
        <v>Active</v>
      </c>
      <c r="K16" s="1" t="s">
        <v>0</v>
      </c>
    </row>
    <row r="17" spans="1:11" x14ac:dyDescent="0.35">
      <c r="A17" s="1" t="s">
        <v>431</v>
      </c>
      <c r="B17" s="1" t="s">
        <v>430</v>
      </c>
      <c r="C17" s="1" t="s">
        <v>405</v>
      </c>
      <c r="D17" s="1" t="s">
        <v>404</v>
      </c>
      <c r="E17" s="1" t="s">
        <v>414</v>
      </c>
      <c r="F17" s="2">
        <v>48.15</v>
      </c>
      <c r="G17" s="2">
        <v>59.92</v>
      </c>
      <c r="H17" s="1" t="s">
        <v>302</v>
      </c>
      <c r="I17" s="1" t="s">
        <v>45</v>
      </c>
      <c r="J17" s="1" t="str">
        <f>_xlfn.XLOOKUP(TRIM(Table1[[#This Row],[Status2]]),Data_profiling!$A$9:$A$14,Data_profiling!$B$9:$B$14,"Checkmanually")</f>
        <v>Active</v>
      </c>
      <c r="K17" s="1" t="s">
        <v>429</v>
      </c>
    </row>
    <row r="18" spans="1:11" x14ac:dyDescent="0.35">
      <c r="A18" s="1" t="s">
        <v>428</v>
      </c>
      <c r="B18" s="1" t="s">
        <v>427</v>
      </c>
      <c r="C18" s="1" t="s">
        <v>405</v>
      </c>
      <c r="D18" s="1" t="s">
        <v>426</v>
      </c>
      <c r="E18" s="1" t="s">
        <v>425</v>
      </c>
      <c r="F18" s="2">
        <v>397.69</v>
      </c>
      <c r="G18" s="2">
        <v>464.41</v>
      </c>
      <c r="H18" s="1" t="s">
        <v>173</v>
      </c>
      <c r="I18" s="1" t="s">
        <v>20</v>
      </c>
      <c r="J18" s="1" t="str">
        <f>_xlfn.XLOOKUP(TRIM(Table1[[#This Row],[Status2]]),Data_profiling!$A$9:$A$14,Data_profiling!$B$9:$B$14,"Checkmanually")</f>
        <v>Active</v>
      </c>
      <c r="K18" s="1" t="s">
        <v>0</v>
      </c>
    </row>
    <row r="19" spans="1:11" x14ac:dyDescent="0.35">
      <c r="A19" s="1" t="s">
        <v>424</v>
      </c>
      <c r="B19" s="1" t="s">
        <v>423</v>
      </c>
      <c r="C19" s="1" t="s">
        <v>405</v>
      </c>
      <c r="D19" s="1" t="s">
        <v>422</v>
      </c>
      <c r="E19" s="1" t="s">
        <v>403</v>
      </c>
      <c r="F19" s="2">
        <v>191.2</v>
      </c>
      <c r="G19" s="2">
        <v>232.58</v>
      </c>
      <c r="H19" s="1" t="s">
        <v>148</v>
      </c>
      <c r="I19" s="1" t="s">
        <v>15</v>
      </c>
      <c r="J19" s="1" t="str">
        <f>_xlfn.XLOOKUP(TRIM(Table1[[#This Row],[Status2]]),Data_profiling!$A$9:$A$14,Data_profiling!$B$9:$B$14,"Checkmanually")</f>
        <v>Active</v>
      </c>
      <c r="K19" s="1" t="s">
        <v>0</v>
      </c>
    </row>
    <row r="20" spans="1:11" x14ac:dyDescent="0.35">
      <c r="A20" s="1" t="s">
        <v>421</v>
      </c>
      <c r="B20" s="1" t="s">
        <v>420</v>
      </c>
      <c r="C20" s="1" t="s">
        <v>405</v>
      </c>
      <c r="D20" s="1" t="s">
        <v>419</v>
      </c>
      <c r="E20" s="1" t="s">
        <v>351</v>
      </c>
      <c r="F20" s="2">
        <v>380.08</v>
      </c>
      <c r="G20" s="2">
        <v>448.94</v>
      </c>
      <c r="H20" s="1" t="s">
        <v>187</v>
      </c>
      <c r="I20" s="1" t="s">
        <v>25</v>
      </c>
      <c r="J20" s="1" t="str">
        <f>_xlfn.XLOOKUP(TRIM(Table1[[#This Row],[Status2]]),Data_profiling!$A$9:$A$14,Data_profiling!$B$9:$B$14,"Checkmanually")</f>
        <v>Active</v>
      </c>
      <c r="K20" s="1" t="s">
        <v>0</v>
      </c>
    </row>
    <row r="21" spans="1:11" x14ac:dyDescent="0.35">
      <c r="A21" s="1" t="s">
        <v>418</v>
      </c>
      <c r="B21" s="1" t="s">
        <v>417</v>
      </c>
      <c r="C21" s="1" t="s">
        <v>405</v>
      </c>
      <c r="D21" s="1" t="s">
        <v>404</v>
      </c>
      <c r="E21" s="1" t="s">
        <v>403</v>
      </c>
      <c r="F21" s="2">
        <v>86.05</v>
      </c>
      <c r="G21" s="2">
        <v>99.93</v>
      </c>
      <c r="H21" s="1" t="s">
        <v>63</v>
      </c>
      <c r="I21" s="1" t="s">
        <v>15</v>
      </c>
      <c r="J21" s="1" t="str">
        <f>_xlfn.XLOOKUP(TRIM(Table1[[#This Row],[Status2]]),Data_profiling!$A$9:$A$14,Data_profiling!$B$9:$B$14,"Checkmanually")</f>
        <v>Active</v>
      </c>
      <c r="K21" s="1" t="s">
        <v>0</v>
      </c>
    </row>
    <row r="22" spans="1:11" x14ac:dyDescent="0.35">
      <c r="A22" s="1" t="s">
        <v>416</v>
      </c>
      <c r="B22" s="1" t="s">
        <v>415</v>
      </c>
      <c r="C22" s="1" t="s">
        <v>405</v>
      </c>
      <c r="D22" s="1" t="s">
        <v>409</v>
      </c>
      <c r="E22" s="1" t="s">
        <v>414</v>
      </c>
      <c r="F22" s="2">
        <v>32.4</v>
      </c>
      <c r="G22" s="2">
        <v>38.659999999999997</v>
      </c>
      <c r="H22" s="1" t="s">
        <v>331</v>
      </c>
      <c r="I22" s="1" t="s">
        <v>15</v>
      </c>
      <c r="J22" s="1" t="str">
        <f>_xlfn.XLOOKUP(TRIM(Table1[[#This Row],[Status2]]),Data_profiling!$A$9:$A$14,Data_profiling!$B$9:$B$14,"Checkmanually")</f>
        <v>Active</v>
      </c>
      <c r="K22" s="1" t="s">
        <v>0</v>
      </c>
    </row>
    <row r="23" spans="1:11" x14ac:dyDescent="0.35">
      <c r="A23" s="1" t="s">
        <v>413</v>
      </c>
      <c r="B23" s="1" t="s">
        <v>412</v>
      </c>
      <c r="C23" s="1" t="s">
        <v>405</v>
      </c>
      <c r="D23" s="1" t="s">
        <v>404</v>
      </c>
      <c r="E23" s="1" t="s">
        <v>403</v>
      </c>
      <c r="F23" s="2">
        <v>319.37</v>
      </c>
      <c r="G23" s="2">
        <v>397.22</v>
      </c>
      <c r="H23" s="1" t="s">
        <v>49</v>
      </c>
      <c r="I23" s="1" t="s">
        <v>45</v>
      </c>
      <c r="J23" s="1" t="str">
        <f>_xlfn.XLOOKUP(TRIM(Table1[[#This Row],[Status2]]),Data_profiling!$A$9:$A$14,Data_profiling!$B$9:$B$14,"Checkmanually")</f>
        <v>Active</v>
      </c>
      <c r="K23" s="1" t="s">
        <v>0</v>
      </c>
    </row>
    <row r="24" spans="1:11" x14ac:dyDescent="0.35">
      <c r="A24" s="1" t="s">
        <v>411</v>
      </c>
      <c r="B24" s="1" t="s">
        <v>410</v>
      </c>
      <c r="C24" s="1" t="s">
        <v>405</v>
      </c>
      <c r="D24" s="1" t="s">
        <v>409</v>
      </c>
      <c r="E24" s="5"/>
      <c r="F24" s="2">
        <v>266.10000000000002</v>
      </c>
      <c r="G24" s="2">
        <v>342.27</v>
      </c>
      <c r="H24" s="1" t="s">
        <v>408</v>
      </c>
      <c r="I24" s="1" t="s">
        <v>1</v>
      </c>
      <c r="J24" s="1" t="str">
        <f>_xlfn.XLOOKUP(TRIM(Table1[[#This Row],[Status2]]),Data_profiling!$A$9:$A$14,Data_profiling!$B$9:$B$14,"Checkmanually")</f>
        <v>Active</v>
      </c>
      <c r="K24" s="1" t="s">
        <v>0</v>
      </c>
    </row>
    <row r="25" spans="1:11" x14ac:dyDescent="0.35">
      <c r="A25" s="1" t="s">
        <v>407</v>
      </c>
      <c r="B25" s="1" t="s">
        <v>406</v>
      </c>
      <c r="C25" s="1" t="s">
        <v>405</v>
      </c>
      <c r="D25" s="1" t="s">
        <v>404</v>
      </c>
      <c r="E25" s="1" t="s">
        <v>403</v>
      </c>
      <c r="F25" s="2">
        <v>246.12</v>
      </c>
      <c r="G25" s="2">
        <v>313.47000000000003</v>
      </c>
      <c r="H25" s="1" t="s">
        <v>331</v>
      </c>
      <c r="I25" s="1" t="s">
        <v>15</v>
      </c>
      <c r="J25" s="1" t="str">
        <f>_xlfn.XLOOKUP(TRIM(Table1[[#This Row],[Status2]]),Data_profiling!$A$9:$A$14,Data_profiling!$B$9:$B$14,"Checkmanually")</f>
        <v>Active</v>
      </c>
      <c r="K25" s="1" t="s">
        <v>0</v>
      </c>
    </row>
    <row r="26" spans="1:11" x14ac:dyDescent="0.35">
      <c r="A26" s="1" t="s">
        <v>402</v>
      </c>
      <c r="B26" s="1" t="s">
        <v>401</v>
      </c>
      <c r="C26" s="1" t="s">
        <v>372</v>
      </c>
      <c r="D26" s="1" t="s">
        <v>379</v>
      </c>
      <c r="E26" s="1" t="s">
        <v>375</v>
      </c>
      <c r="F26" s="2">
        <v>285.89999999999998</v>
      </c>
      <c r="G26" s="2">
        <v>383.51</v>
      </c>
      <c r="H26" s="1" t="s">
        <v>239</v>
      </c>
      <c r="I26" s="1" t="s">
        <v>20</v>
      </c>
      <c r="J26" s="1" t="str">
        <f>_xlfn.XLOOKUP(TRIM(Table1[[#This Row],[Status2]]),Data_profiling!$A$9:$A$14,Data_profiling!$B$9:$B$14,"Checkmanually")</f>
        <v>Active</v>
      </c>
      <c r="K26" s="1" t="s">
        <v>0</v>
      </c>
    </row>
    <row r="27" spans="1:11" x14ac:dyDescent="0.35">
      <c r="A27" s="1" t="s">
        <v>400</v>
      </c>
      <c r="B27" s="1" t="s">
        <v>399</v>
      </c>
      <c r="C27" s="1" t="s">
        <v>372</v>
      </c>
      <c r="D27" s="1" t="s">
        <v>371</v>
      </c>
      <c r="E27" s="1" t="s">
        <v>375</v>
      </c>
      <c r="F27" s="2">
        <v>247.25</v>
      </c>
      <c r="G27" s="2">
        <v>329.69</v>
      </c>
      <c r="H27" s="1" t="s">
        <v>247</v>
      </c>
      <c r="I27" s="1" t="s">
        <v>20</v>
      </c>
      <c r="J27" s="1" t="str">
        <f>_xlfn.XLOOKUP(TRIM(Table1[[#This Row],[Status2]]),Data_profiling!$A$9:$A$14,Data_profiling!$B$9:$B$14,"Checkmanually")</f>
        <v>Active</v>
      </c>
      <c r="K27" s="1" t="s">
        <v>0</v>
      </c>
    </row>
    <row r="28" spans="1:11" x14ac:dyDescent="0.35">
      <c r="A28" s="1" t="s">
        <v>398</v>
      </c>
      <c r="B28" s="1" t="s">
        <v>397</v>
      </c>
      <c r="C28" s="1" t="s">
        <v>372</v>
      </c>
      <c r="D28" s="1" t="s">
        <v>387</v>
      </c>
      <c r="E28" s="1" t="s">
        <v>370</v>
      </c>
      <c r="F28" s="2">
        <v>106.99</v>
      </c>
      <c r="G28" s="2">
        <v>139.21</v>
      </c>
      <c r="H28" s="1" t="s">
        <v>396</v>
      </c>
      <c r="I28" s="1" t="s">
        <v>20</v>
      </c>
      <c r="J28" s="1" t="str">
        <f>_xlfn.XLOOKUP(TRIM(Table1[[#This Row],[Status2]]),Data_profiling!$A$9:$A$14,Data_profiling!$B$9:$B$14,"Checkmanually")</f>
        <v>Active</v>
      </c>
      <c r="K28" s="1" t="s">
        <v>0</v>
      </c>
    </row>
    <row r="29" spans="1:11" x14ac:dyDescent="0.35">
      <c r="A29" s="1" t="s">
        <v>395</v>
      </c>
      <c r="B29" s="1" t="s">
        <v>394</v>
      </c>
      <c r="C29" s="1" t="s">
        <v>372</v>
      </c>
      <c r="D29" s="1" t="s">
        <v>379</v>
      </c>
      <c r="E29" s="1" t="s">
        <v>393</v>
      </c>
      <c r="F29" s="2">
        <v>309.98</v>
      </c>
      <c r="G29" s="2">
        <v>380.12</v>
      </c>
      <c r="H29" s="1" t="s">
        <v>26</v>
      </c>
      <c r="I29" s="1" t="s">
        <v>15</v>
      </c>
      <c r="J29" s="1" t="str">
        <f>_xlfn.XLOOKUP(TRIM(Table1[[#This Row],[Status2]]),Data_profiling!$A$9:$A$14,Data_profiling!$B$9:$B$14,"Checkmanually")</f>
        <v>Active</v>
      </c>
      <c r="K29" s="1" t="s">
        <v>0</v>
      </c>
    </row>
    <row r="30" spans="1:11" x14ac:dyDescent="0.35">
      <c r="A30" s="1" t="s">
        <v>392</v>
      </c>
      <c r="B30" s="1" t="s">
        <v>391</v>
      </c>
      <c r="C30" s="1" t="s">
        <v>372</v>
      </c>
      <c r="D30" s="1" t="s">
        <v>387</v>
      </c>
      <c r="E30" s="1" t="s">
        <v>390</v>
      </c>
      <c r="F30" s="2">
        <v>261.22000000000003</v>
      </c>
      <c r="G30" s="2">
        <v>332.73</v>
      </c>
      <c r="H30" s="1" t="s">
        <v>197</v>
      </c>
      <c r="I30" s="1" t="s">
        <v>15</v>
      </c>
      <c r="J30" s="1" t="str">
        <f>_xlfn.XLOOKUP(TRIM(Table1[[#This Row],[Status2]]),Data_profiling!$A$9:$A$14,Data_profiling!$B$9:$B$14,"Checkmanually")</f>
        <v>Active</v>
      </c>
      <c r="K30" s="1" t="s">
        <v>0</v>
      </c>
    </row>
    <row r="31" spans="1:11" x14ac:dyDescent="0.35">
      <c r="A31" s="1" t="s">
        <v>389</v>
      </c>
      <c r="B31" s="1" t="s">
        <v>388</v>
      </c>
      <c r="C31" s="1" t="s">
        <v>372</v>
      </c>
      <c r="D31" s="1" t="s">
        <v>387</v>
      </c>
      <c r="E31" s="1" t="s">
        <v>375</v>
      </c>
      <c r="F31" s="2">
        <v>142</v>
      </c>
      <c r="G31" s="2">
        <v>172.63</v>
      </c>
      <c r="H31" s="1" t="s">
        <v>2</v>
      </c>
      <c r="I31" s="1" t="s">
        <v>25</v>
      </c>
      <c r="J31" s="1" t="str">
        <f>_xlfn.XLOOKUP(TRIM(Table1[[#This Row],[Status2]]),Data_profiling!$A$9:$A$14,Data_profiling!$B$9:$B$14,"Checkmanually")</f>
        <v>Active</v>
      </c>
      <c r="K31" s="1" t="s">
        <v>0</v>
      </c>
    </row>
    <row r="32" spans="1:11" x14ac:dyDescent="0.35">
      <c r="A32" s="1" t="s">
        <v>386</v>
      </c>
      <c r="B32" s="1" t="s">
        <v>385</v>
      </c>
      <c r="C32" s="1" t="s">
        <v>372</v>
      </c>
      <c r="D32" s="1" t="s">
        <v>371</v>
      </c>
      <c r="E32" s="1" t="s">
        <v>375</v>
      </c>
      <c r="F32" s="2">
        <v>271.77999999999997</v>
      </c>
      <c r="G32" s="2">
        <v>342.46</v>
      </c>
      <c r="H32" s="1" t="s">
        <v>255</v>
      </c>
      <c r="I32" s="1" t="s">
        <v>1</v>
      </c>
      <c r="J32" s="1" t="str">
        <f>_xlfn.XLOOKUP(TRIM(Table1[[#This Row],[Status2]]),Data_profiling!$A$9:$A$14,Data_profiling!$B$9:$B$14,"Checkmanually")</f>
        <v>Active</v>
      </c>
      <c r="K32" s="1" t="s">
        <v>0</v>
      </c>
    </row>
    <row r="33" spans="1:11" x14ac:dyDescent="0.35">
      <c r="A33" s="1" t="s">
        <v>384</v>
      </c>
      <c r="B33" s="1" t="s">
        <v>383</v>
      </c>
      <c r="C33" s="1" t="s">
        <v>372</v>
      </c>
      <c r="D33" s="1" t="s">
        <v>371</v>
      </c>
      <c r="E33" s="1" t="s">
        <v>370</v>
      </c>
      <c r="F33" s="2">
        <v>115.91</v>
      </c>
      <c r="G33" s="2">
        <v>141.11000000000001</v>
      </c>
      <c r="H33" s="1" t="s">
        <v>382</v>
      </c>
      <c r="I33" s="1" t="s">
        <v>20</v>
      </c>
      <c r="J33" s="1" t="str">
        <f>_xlfn.XLOOKUP(TRIM(Table1[[#This Row],[Status2]]),Data_profiling!$A$9:$A$14,Data_profiling!$B$9:$B$14,"Checkmanually")</f>
        <v>Active</v>
      </c>
      <c r="K33" s="1" t="s">
        <v>0</v>
      </c>
    </row>
    <row r="34" spans="1:11" x14ac:dyDescent="0.35">
      <c r="A34" s="1" t="s">
        <v>381</v>
      </c>
      <c r="B34" s="1" t="s">
        <v>380</v>
      </c>
      <c r="C34" s="1" t="s">
        <v>372</v>
      </c>
      <c r="D34" s="1" t="s">
        <v>379</v>
      </c>
      <c r="E34" s="1" t="s">
        <v>378</v>
      </c>
      <c r="F34" s="2">
        <v>177.03</v>
      </c>
      <c r="G34" s="2">
        <v>217.42</v>
      </c>
      <c r="H34" s="1" t="s">
        <v>262</v>
      </c>
      <c r="I34" s="1" t="s">
        <v>20</v>
      </c>
      <c r="J34" s="1" t="str">
        <f>_xlfn.XLOOKUP(TRIM(Table1[[#This Row],[Status2]]),Data_profiling!$A$9:$A$14,Data_profiling!$B$9:$B$14,"Checkmanually")</f>
        <v>Active</v>
      </c>
      <c r="K34" s="1" t="s">
        <v>0</v>
      </c>
    </row>
    <row r="35" spans="1:11" x14ac:dyDescent="0.35">
      <c r="A35" s="1" t="s">
        <v>377</v>
      </c>
      <c r="B35" s="1" t="s">
        <v>376</v>
      </c>
      <c r="C35" s="1" t="s">
        <v>372</v>
      </c>
      <c r="D35" s="1" t="s">
        <v>371</v>
      </c>
      <c r="E35" s="1" t="s">
        <v>375</v>
      </c>
      <c r="F35" s="2">
        <v>97.35</v>
      </c>
      <c r="G35" s="2">
        <v>124.84</v>
      </c>
      <c r="H35" s="1" t="s">
        <v>331</v>
      </c>
      <c r="I35" s="1" t="s">
        <v>15</v>
      </c>
      <c r="J35" s="1" t="str">
        <f>_xlfn.XLOOKUP(TRIM(Table1[[#This Row],[Status2]]),Data_profiling!$A$9:$A$14,Data_profiling!$B$9:$B$14,"Checkmanually")</f>
        <v>Active</v>
      </c>
      <c r="K35" s="1" t="s">
        <v>0</v>
      </c>
    </row>
    <row r="36" spans="1:11" x14ac:dyDescent="0.35">
      <c r="A36" s="1" t="s">
        <v>374</v>
      </c>
      <c r="B36" s="1" t="s">
        <v>373</v>
      </c>
      <c r="C36" s="1" t="s">
        <v>372</v>
      </c>
      <c r="D36" s="1" t="s">
        <v>371</v>
      </c>
      <c r="E36" s="1" t="s">
        <v>370</v>
      </c>
      <c r="F36" s="2">
        <v>389.8</v>
      </c>
      <c r="G36" s="2">
        <v>503.36</v>
      </c>
      <c r="H36" s="1" t="s">
        <v>350</v>
      </c>
      <c r="I36" s="1" t="s">
        <v>45</v>
      </c>
      <c r="J36" s="1" t="str">
        <f>_xlfn.XLOOKUP(TRIM(Table1[[#This Row],[Status2]]),Data_profiling!$A$9:$A$14,Data_profiling!$B$9:$B$14,"Checkmanually")</f>
        <v>Active</v>
      </c>
      <c r="K36" s="1" t="s">
        <v>0</v>
      </c>
    </row>
    <row r="37" spans="1:11" x14ac:dyDescent="0.35">
      <c r="A37" s="1" t="s">
        <v>369</v>
      </c>
      <c r="B37" s="1" t="s">
        <v>368</v>
      </c>
      <c r="C37" s="1" t="s">
        <v>367</v>
      </c>
      <c r="D37" s="1" t="s">
        <v>337</v>
      </c>
      <c r="E37" s="1" t="s">
        <v>336</v>
      </c>
      <c r="F37" s="2">
        <v>229.86</v>
      </c>
      <c r="G37" s="2">
        <v>254.99</v>
      </c>
      <c r="H37" s="1" t="s">
        <v>243</v>
      </c>
      <c r="I37" s="1" t="s">
        <v>15</v>
      </c>
      <c r="J37" s="1" t="str">
        <f>_xlfn.XLOOKUP(TRIM(Table1[[#This Row],[Status2]]),Data_profiling!$A$9:$A$14,Data_profiling!$B$9:$B$14,"Checkmanually")</f>
        <v>Active</v>
      </c>
      <c r="K37" s="1" t="s">
        <v>0</v>
      </c>
    </row>
    <row r="38" spans="1:11" x14ac:dyDescent="0.35">
      <c r="A38" s="1" t="s">
        <v>366</v>
      </c>
      <c r="B38" s="1" t="s">
        <v>365</v>
      </c>
      <c r="C38" s="1" t="s">
        <v>338</v>
      </c>
      <c r="D38" s="1" t="s">
        <v>364</v>
      </c>
      <c r="E38" s="1" t="s">
        <v>336</v>
      </c>
      <c r="F38" s="2">
        <v>209.38</v>
      </c>
      <c r="G38" s="2">
        <v>245.32</v>
      </c>
      <c r="H38" s="1" t="s">
        <v>363</v>
      </c>
      <c r="I38" s="1" t="s">
        <v>25</v>
      </c>
      <c r="J38" s="1" t="str">
        <f>_xlfn.XLOOKUP(TRIM(Table1[[#This Row],[Status2]]),Data_profiling!$A$9:$A$14,Data_profiling!$B$9:$B$14,"Checkmanually")</f>
        <v>Active</v>
      </c>
      <c r="K38" s="1" t="s">
        <v>0</v>
      </c>
    </row>
    <row r="39" spans="1:11" x14ac:dyDescent="0.35">
      <c r="A39" s="1" t="s">
        <v>362</v>
      </c>
      <c r="B39" s="1" t="s">
        <v>361</v>
      </c>
      <c r="C39" s="1" t="s">
        <v>360</v>
      </c>
      <c r="D39" s="1" t="s">
        <v>337</v>
      </c>
      <c r="E39" s="1" t="s">
        <v>351</v>
      </c>
      <c r="F39" s="2">
        <v>112.62</v>
      </c>
      <c r="G39" s="2">
        <v>130.09</v>
      </c>
      <c r="H39" s="1" t="s">
        <v>55</v>
      </c>
      <c r="I39" s="1" t="s">
        <v>45</v>
      </c>
      <c r="J39" s="1" t="str">
        <f>_xlfn.XLOOKUP(TRIM(Table1[[#This Row],[Status2]]),Data_profiling!$A$9:$A$14,Data_profiling!$B$9:$B$14,"Checkmanually")</f>
        <v>Active</v>
      </c>
      <c r="K39" s="1" t="s">
        <v>0</v>
      </c>
    </row>
    <row r="40" spans="1:11" x14ac:dyDescent="0.35">
      <c r="A40" s="1" t="s">
        <v>359</v>
      </c>
      <c r="B40" s="1" t="s">
        <v>358</v>
      </c>
      <c r="C40" s="1" t="s">
        <v>338</v>
      </c>
      <c r="D40" s="1" t="s">
        <v>345</v>
      </c>
      <c r="E40" s="1" t="s">
        <v>336</v>
      </c>
      <c r="F40" s="2">
        <v>348.33</v>
      </c>
      <c r="G40" s="2">
        <v>392.79</v>
      </c>
      <c r="H40" s="1" t="s">
        <v>173</v>
      </c>
      <c r="I40" s="1" t="s">
        <v>25</v>
      </c>
      <c r="J40" s="1" t="str">
        <f>_xlfn.XLOOKUP(TRIM(Table1[[#This Row],[Status2]]),Data_profiling!$A$9:$A$14,Data_profiling!$B$9:$B$14,"Checkmanually")</f>
        <v>Active</v>
      </c>
      <c r="K40" s="1" t="s">
        <v>0</v>
      </c>
    </row>
    <row r="41" spans="1:11" x14ac:dyDescent="0.35">
      <c r="A41" s="1" t="s">
        <v>357</v>
      </c>
      <c r="B41" s="1" t="s">
        <v>356</v>
      </c>
      <c r="C41" s="1" t="s">
        <v>338</v>
      </c>
      <c r="D41" s="1" t="s">
        <v>345</v>
      </c>
      <c r="E41" s="1" t="s">
        <v>351</v>
      </c>
      <c r="F41" s="2">
        <v>127.48</v>
      </c>
      <c r="G41" s="2">
        <v>144.03</v>
      </c>
      <c r="H41" s="1" t="s">
        <v>148</v>
      </c>
      <c r="I41" s="1" t="s">
        <v>20</v>
      </c>
      <c r="J41" s="1" t="str">
        <f>_xlfn.XLOOKUP(TRIM(Table1[[#This Row],[Status2]]),Data_profiling!$A$9:$A$14,Data_profiling!$B$9:$B$14,"Checkmanually")</f>
        <v>Active</v>
      </c>
      <c r="K41" s="1" t="s">
        <v>0</v>
      </c>
    </row>
    <row r="42" spans="1:11" x14ac:dyDescent="0.35">
      <c r="A42" s="1" t="s">
        <v>355</v>
      </c>
      <c r="B42" s="1" t="s">
        <v>354</v>
      </c>
      <c r="C42" s="1" t="s">
        <v>338</v>
      </c>
      <c r="D42" s="1" t="s">
        <v>345</v>
      </c>
      <c r="E42" s="1" t="s">
        <v>351</v>
      </c>
      <c r="F42" s="2">
        <v>189.69</v>
      </c>
      <c r="G42" s="2">
        <v>217.85</v>
      </c>
      <c r="H42" s="1" t="s">
        <v>119</v>
      </c>
      <c r="I42" s="1" t="s">
        <v>20</v>
      </c>
      <c r="J42" s="1" t="str">
        <f>_xlfn.XLOOKUP(TRIM(Table1[[#This Row],[Status2]]),Data_profiling!$A$9:$A$14,Data_profiling!$B$9:$B$14,"Checkmanually")</f>
        <v>Active</v>
      </c>
      <c r="K42" s="1" t="s">
        <v>0</v>
      </c>
    </row>
    <row r="43" spans="1:11" x14ac:dyDescent="0.35">
      <c r="A43" s="1" t="s">
        <v>353</v>
      </c>
      <c r="B43" s="1" t="s">
        <v>352</v>
      </c>
      <c r="C43" s="1" t="s">
        <v>338</v>
      </c>
      <c r="D43" s="1" t="s">
        <v>345</v>
      </c>
      <c r="E43" s="1" t="s">
        <v>351</v>
      </c>
      <c r="F43" s="2">
        <v>374.48</v>
      </c>
      <c r="G43" s="2">
        <v>444.49</v>
      </c>
      <c r="H43" s="1" t="s">
        <v>350</v>
      </c>
      <c r="I43" s="1" t="s">
        <v>20</v>
      </c>
      <c r="J43" s="1" t="str">
        <f>_xlfn.XLOOKUP(TRIM(Table1[[#This Row],[Status2]]),Data_profiling!$A$9:$A$14,Data_profiling!$B$9:$B$14,"Checkmanually")</f>
        <v>Active</v>
      </c>
      <c r="K43" s="1" t="s">
        <v>0</v>
      </c>
    </row>
    <row r="44" spans="1:11" x14ac:dyDescent="0.35">
      <c r="A44" s="1" t="s">
        <v>349</v>
      </c>
      <c r="B44" s="1" t="s">
        <v>348</v>
      </c>
      <c r="C44" s="1" t="s">
        <v>338</v>
      </c>
      <c r="D44" s="1" t="s">
        <v>337</v>
      </c>
      <c r="E44" s="1" t="s">
        <v>342</v>
      </c>
      <c r="F44" s="2">
        <v>36.590000000000003</v>
      </c>
      <c r="G44" s="2">
        <v>42.97</v>
      </c>
      <c r="H44" s="1" t="s">
        <v>98</v>
      </c>
      <c r="I44" s="1" t="s">
        <v>15</v>
      </c>
      <c r="J44" s="1" t="str">
        <f>_xlfn.XLOOKUP(TRIM(Table1[[#This Row],[Status2]]),Data_profiling!$A$9:$A$14,Data_profiling!$B$9:$B$14,"Checkmanually")</f>
        <v>Active</v>
      </c>
      <c r="K44" s="1" t="s">
        <v>0</v>
      </c>
    </row>
    <row r="45" spans="1:11" x14ac:dyDescent="0.35">
      <c r="A45" s="1" t="s">
        <v>347</v>
      </c>
      <c r="B45" s="1" t="s">
        <v>346</v>
      </c>
      <c r="C45" s="1" t="s">
        <v>338</v>
      </c>
      <c r="D45" s="1" t="s">
        <v>345</v>
      </c>
      <c r="E45" s="1" t="s">
        <v>336</v>
      </c>
      <c r="F45" s="2">
        <v>208.22</v>
      </c>
      <c r="G45" s="2">
        <v>229.81</v>
      </c>
      <c r="H45" s="1" t="s">
        <v>239</v>
      </c>
      <c r="I45" s="1" t="s">
        <v>20</v>
      </c>
      <c r="J45" s="1" t="str">
        <f>_xlfn.XLOOKUP(TRIM(Table1[[#This Row],[Status2]]),Data_profiling!$A$9:$A$14,Data_profiling!$B$9:$B$14,"Checkmanually")</f>
        <v>Active</v>
      </c>
      <c r="K45" s="1" t="s">
        <v>0</v>
      </c>
    </row>
    <row r="46" spans="1:11" x14ac:dyDescent="0.35">
      <c r="A46" s="1" t="s">
        <v>344</v>
      </c>
      <c r="B46" s="1" t="s">
        <v>343</v>
      </c>
      <c r="C46" s="1" t="s">
        <v>338</v>
      </c>
      <c r="D46" s="1" t="s">
        <v>337</v>
      </c>
      <c r="E46" s="1" t="s">
        <v>342</v>
      </c>
      <c r="F46" s="2">
        <v>57.89</v>
      </c>
      <c r="G46" s="2">
        <v>68.95</v>
      </c>
      <c r="H46" s="1" t="s">
        <v>341</v>
      </c>
      <c r="I46" s="1" t="s">
        <v>45</v>
      </c>
      <c r="J46" s="1" t="str">
        <f>_xlfn.XLOOKUP(TRIM(Table1[[#This Row],[Status2]]),Data_profiling!$A$9:$A$14,Data_profiling!$B$9:$B$14,"Checkmanually")</f>
        <v>Active</v>
      </c>
      <c r="K46" s="1" t="s">
        <v>0</v>
      </c>
    </row>
    <row r="47" spans="1:11" x14ac:dyDescent="0.35">
      <c r="A47" s="1" t="s">
        <v>340</v>
      </c>
      <c r="B47" s="1" t="s">
        <v>339</v>
      </c>
      <c r="C47" s="1" t="s">
        <v>338</v>
      </c>
      <c r="D47" s="1" t="s">
        <v>337</v>
      </c>
      <c r="E47" s="1" t="s">
        <v>336</v>
      </c>
      <c r="F47" s="2">
        <v>48.43</v>
      </c>
      <c r="G47" s="2">
        <v>57.06</v>
      </c>
      <c r="H47" s="1" t="s">
        <v>286</v>
      </c>
      <c r="I47" s="1" t="s">
        <v>25</v>
      </c>
      <c r="J47" s="1" t="str">
        <f>_xlfn.XLOOKUP(TRIM(Table1[[#This Row],[Status2]]),Data_profiling!$A$9:$A$14,Data_profiling!$B$9:$B$14,"Checkmanually")</f>
        <v>Active</v>
      </c>
      <c r="K47" s="1" t="s">
        <v>0</v>
      </c>
    </row>
    <row r="48" spans="1:11" x14ac:dyDescent="0.35">
      <c r="A48" s="1" t="s">
        <v>335</v>
      </c>
      <c r="B48" s="1" t="s">
        <v>334</v>
      </c>
      <c r="C48" s="1" t="s">
        <v>305</v>
      </c>
      <c r="D48" s="1" t="s">
        <v>304</v>
      </c>
      <c r="E48" s="1" t="s">
        <v>317</v>
      </c>
      <c r="F48" s="2">
        <v>343.89</v>
      </c>
      <c r="G48" s="2">
        <v>474.19</v>
      </c>
      <c r="H48" s="1" t="s">
        <v>98</v>
      </c>
      <c r="I48" s="1" t="s">
        <v>25</v>
      </c>
      <c r="J48" s="1" t="str">
        <f>_xlfn.XLOOKUP(TRIM(Table1[[#This Row],[Status2]]),Data_profiling!$A$9:$A$14,Data_profiling!$B$9:$B$14,"Checkmanually")</f>
        <v>Active</v>
      </c>
      <c r="K48" s="1" t="s">
        <v>0</v>
      </c>
    </row>
    <row r="49" spans="1:11" x14ac:dyDescent="0.35">
      <c r="A49" s="1" t="s">
        <v>333</v>
      </c>
      <c r="B49" s="1" t="s">
        <v>332</v>
      </c>
      <c r="C49" s="1" t="s">
        <v>305</v>
      </c>
      <c r="D49" s="1" t="s">
        <v>304</v>
      </c>
      <c r="E49" s="1" t="s">
        <v>317</v>
      </c>
      <c r="F49" s="2">
        <v>109.21</v>
      </c>
      <c r="G49" s="2">
        <v>147.72</v>
      </c>
      <c r="H49" s="1" t="s">
        <v>331</v>
      </c>
      <c r="I49" s="5"/>
      <c r="J49" s="5" t="str">
        <f>_xlfn.XLOOKUP(TRIM(Table1[[#This Row],[Status2]]),Data_profiling!$A$9:$A$14,Data_profiling!$B$9:$B$14,"Checkmanually")</f>
        <v>Active</v>
      </c>
      <c r="K49" s="1" t="s">
        <v>0</v>
      </c>
    </row>
    <row r="50" spans="1:11" x14ac:dyDescent="0.35">
      <c r="A50" s="1" t="s">
        <v>330</v>
      </c>
      <c r="B50" s="1" t="s">
        <v>329</v>
      </c>
      <c r="C50" s="1" t="s">
        <v>305</v>
      </c>
      <c r="D50" s="1" t="s">
        <v>328</v>
      </c>
      <c r="E50" s="1" t="s">
        <v>309</v>
      </c>
      <c r="F50" s="2">
        <v>308.94</v>
      </c>
      <c r="G50" s="2">
        <v>418.79</v>
      </c>
      <c r="H50" s="1" t="s">
        <v>214</v>
      </c>
      <c r="I50" s="1" t="s">
        <v>15</v>
      </c>
      <c r="J50" s="1" t="str">
        <f>_xlfn.XLOOKUP(TRIM(Table1[[#This Row],[Status2]]),Data_profiling!$A$9:$A$14,Data_profiling!$B$9:$B$14,"Checkmanually")</f>
        <v>Active</v>
      </c>
      <c r="K50" s="1" t="s">
        <v>0</v>
      </c>
    </row>
    <row r="51" spans="1:11" x14ac:dyDescent="0.35">
      <c r="A51" s="1" t="s">
        <v>327</v>
      </c>
      <c r="B51" s="1" t="s">
        <v>326</v>
      </c>
      <c r="C51" s="1" t="s">
        <v>305</v>
      </c>
      <c r="D51" s="1" t="s">
        <v>310</v>
      </c>
      <c r="E51" s="1" t="s">
        <v>303</v>
      </c>
      <c r="F51" s="2">
        <v>37.479999999999997</v>
      </c>
      <c r="G51" s="2">
        <v>51.33</v>
      </c>
      <c r="H51" s="1" t="s">
        <v>308</v>
      </c>
      <c r="I51" s="1" t="s">
        <v>25</v>
      </c>
      <c r="J51" s="1" t="str">
        <f>_xlfn.XLOOKUP(TRIM(Table1[[#This Row],[Status2]]),Data_profiling!$A$9:$A$14,Data_profiling!$B$9:$B$14,"Checkmanually")</f>
        <v>Active</v>
      </c>
      <c r="K51" s="1" t="s">
        <v>0</v>
      </c>
    </row>
    <row r="52" spans="1:11" x14ac:dyDescent="0.35">
      <c r="A52" s="1" t="s">
        <v>325</v>
      </c>
      <c r="B52" s="1" t="s">
        <v>324</v>
      </c>
      <c r="C52" s="1" t="s">
        <v>305</v>
      </c>
      <c r="D52" s="1" t="s">
        <v>314</v>
      </c>
      <c r="E52" s="1" t="s">
        <v>309</v>
      </c>
      <c r="F52" s="2">
        <v>112.8</v>
      </c>
      <c r="G52" s="2">
        <v>147.97</v>
      </c>
      <c r="H52" s="1" t="s">
        <v>21</v>
      </c>
      <c r="I52" s="1" t="s">
        <v>45</v>
      </c>
      <c r="J52" s="1" t="str">
        <f>_xlfn.XLOOKUP(TRIM(Table1[[#This Row],[Status2]]),Data_profiling!$A$9:$A$14,Data_profiling!$B$9:$B$14,"Checkmanually")</f>
        <v>Active</v>
      </c>
      <c r="K52" s="1" t="s">
        <v>0</v>
      </c>
    </row>
    <row r="53" spans="1:11" x14ac:dyDescent="0.35">
      <c r="A53" s="1" t="s">
        <v>323</v>
      </c>
      <c r="B53" s="1" t="s">
        <v>322</v>
      </c>
      <c r="C53" s="1" t="s">
        <v>305</v>
      </c>
      <c r="D53" s="1" t="s">
        <v>310</v>
      </c>
      <c r="E53" s="1" t="s">
        <v>317</v>
      </c>
      <c r="F53" s="2">
        <v>255.49</v>
      </c>
      <c r="G53" s="2">
        <v>328.59</v>
      </c>
      <c r="H53" s="1" t="s">
        <v>154</v>
      </c>
      <c r="I53" s="1" t="s">
        <v>45</v>
      </c>
      <c r="J53" s="1" t="str">
        <f>_xlfn.XLOOKUP(TRIM(Table1[[#This Row],[Status2]]),Data_profiling!$A$9:$A$14,Data_profiling!$B$9:$B$14,"Checkmanually")</f>
        <v>Active</v>
      </c>
      <c r="K53" s="1" t="s">
        <v>0</v>
      </c>
    </row>
    <row r="54" spans="1:11" x14ac:dyDescent="0.35">
      <c r="A54" s="1" t="s">
        <v>321</v>
      </c>
      <c r="B54" s="1" t="s">
        <v>320</v>
      </c>
      <c r="C54" s="1" t="s">
        <v>305</v>
      </c>
      <c r="D54" s="1" t="s">
        <v>310</v>
      </c>
      <c r="E54" s="1" t="s">
        <v>309</v>
      </c>
      <c r="F54" s="2">
        <v>194.64</v>
      </c>
      <c r="G54" s="2">
        <v>262.77</v>
      </c>
      <c r="H54" s="1" t="s">
        <v>142</v>
      </c>
      <c r="I54" s="1" t="s">
        <v>25</v>
      </c>
      <c r="J54" s="1" t="str">
        <f>_xlfn.XLOOKUP(TRIM(Table1[[#This Row],[Status2]]),Data_profiling!$A$9:$A$14,Data_profiling!$B$9:$B$14,"Checkmanually")</f>
        <v>Active</v>
      </c>
      <c r="K54" s="1" t="s">
        <v>0</v>
      </c>
    </row>
    <row r="55" spans="1:11" x14ac:dyDescent="0.35">
      <c r="A55" s="1" t="s">
        <v>319</v>
      </c>
      <c r="B55" s="1" t="s">
        <v>318</v>
      </c>
      <c r="C55" s="1" t="s">
        <v>305</v>
      </c>
      <c r="D55" s="1" t="s">
        <v>310</v>
      </c>
      <c r="E55" s="1" t="s">
        <v>317</v>
      </c>
      <c r="F55" s="2">
        <v>379.19</v>
      </c>
      <c r="G55" s="2">
        <v>530.16</v>
      </c>
      <c r="H55" s="1" t="s">
        <v>68</v>
      </c>
      <c r="I55" s="1" t="s">
        <v>15</v>
      </c>
      <c r="J55" s="1" t="str">
        <f>_xlfn.XLOOKUP(TRIM(Table1[[#This Row],[Status2]]),Data_profiling!$A$9:$A$14,Data_profiling!$B$9:$B$14,"Checkmanually")</f>
        <v>Active</v>
      </c>
      <c r="K55" s="1" t="s">
        <v>0</v>
      </c>
    </row>
    <row r="56" spans="1:11" x14ac:dyDescent="0.35">
      <c r="A56" s="1" t="s">
        <v>316</v>
      </c>
      <c r="B56" s="1" t="s">
        <v>315</v>
      </c>
      <c r="C56" s="1" t="s">
        <v>305</v>
      </c>
      <c r="D56" s="1" t="s">
        <v>314</v>
      </c>
      <c r="E56" s="1" t="s">
        <v>309</v>
      </c>
      <c r="F56" s="2">
        <v>95.7</v>
      </c>
      <c r="G56" s="2">
        <v>125.15</v>
      </c>
      <c r="H56" s="1" t="s">
        <v>313</v>
      </c>
      <c r="I56" s="1" t="s">
        <v>1</v>
      </c>
      <c r="J56" s="1" t="str">
        <f>_xlfn.XLOOKUP(TRIM(Table1[[#This Row],[Status2]]),Data_profiling!$A$9:$A$14,Data_profiling!$B$9:$B$14,"Checkmanually")</f>
        <v>Active</v>
      </c>
      <c r="K56" s="1" t="s">
        <v>0</v>
      </c>
    </row>
    <row r="57" spans="1:11" x14ac:dyDescent="0.35">
      <c r="A57" s="1" t="s">
        <v>312</v>
      </c>
      <c r="B57" s="1" t="s">
        <v>311</v>
      </c>
      <c r="C57" s="1" t="s">
        <v>305</v>
      </c>
      <c r="D57" s="1" t="s">
        <v>310</v>
      </c>
      <c r="E57" s="1" t="s">
        <v>309</v>
      </c>
      <c r="F57" s="2">
        <v>238.43</v>
      </c>
      <c r="G57" s="2">
        <v>333.54</v>
      </c>
      <c r="H57" s="1" t="s">
        <v>308</v>
      </c>
      <c r="I57" s="1" t="s">
        <v>1</v>
      </c>
      <c r="J57" s="1" t="str">
        <f>_xlfn.XLOOKUP(TRIM(Table1[[#This Row],[Status2]]),Data_profiling!$A$9:$A$14,Data_profiling!$B$9:$B$14,"Checkmanually")</f>
        <v>Active</v>
      </c>
      <c r="K57" s="1" t="s">
        <v>0</v>
      </c>
    </row>
    <row r="58" spans="1:11" x14ac:dyDescent="0.35">
      <c r="A58" s="1" t="s">
        <v>307</v>
      </c>
      <c r="B58" s="1" t="s">
        <v>306</v>
      </c>
      <c r="C58" s="1" t="s">
        <v>305</v>
      </c>
      <c r="D58" s="1" t="s">
        <v>304</v>
      </c>
      <c r="E58" s="1" t="s">
        <v>303</v>
      </c>
      <c r="F58" s="2">
        <v>235.05</v>
      </c>
      <c r="G58" s="2">
        <v>317.99</v>
      </c>
      <c r="H58" s="1" t="s">
        <v>302</v>
      </c>
      <c r="I58" s="1" t="s">
        <v>20</v>
      </c>
      <c r="J58" s="1" t="str">
        <f>_xlfn.XLOOKUP(TRIM(Table1[[#This Row],[Status2]]),Data_profiling!$A$9:$A$14,Data_profiling!$B$9:$B$14,"Checkmanually")</f>
        <v>Active</v>
      </c>
      <c r="K58" s="1" t="s">
        <v>0</v>
      </c>
    </row>
    <row r="59" spans="1:11" x14ac:dyDescent="0.35">
      <c r="A59" s="1" t="s">
        <v>301</v>
      </c>
      <c r="B59" s="1" t="s">
        <v>300</v>
      </c>
      <c r="C59" s="1" t="s">
        <v>267</v>
      </c>
      <c r="D59" s="1" t="s">
        <v>290</v>
      </c>
      <c r="E59" s="1" t="s">
        <v>289</v>
      </c>
      <c r="F59" s="2">
        <v>250.68</v>
      </c>
      <c r="G59" s="2">
        <v>339.13</v>
      </c>
      <c r="H59" s="1" t="s">
        <v>226</v>
      </c>
      <c r="I59" s="1" t="s">
        <v>45</v>
      </c>
      <c r="J59" s="1" t="str">
        <f>_xlfn.XLOOKUP(TRIM(Table1[[#This Row],[Status2]]),Data_profiling!$A$9:$A$14,Data_profiling!$B$9:$B$14,"Checkmanually")</f>
        <v>Active</v>
      </c>
      <c r="K59" s="1" t="s">
        <v>0</v>
      </c>
    </row>
    <row r="60" spans="1:11" x14ac:dyDescent="0.35">
      <c r="A60" s="1" t="s">
        <v>299</v>
      </c>
      <c r="B60" s="1" t="s">
        <v>298</v>
      </c>
      <c r="C60" s="1" t="s">
        <v>267</v>
      </c>
      <c r="D60" s="1" t="s">
        <v>280</v>
      </c>
      <c r="E60" s="1" t="s">
        <v>293</v>
      </c>
      <c r="F60" s="2">
        <v>363.29</v>
      </c>
      <c r="G60" s="2">
        <v>507.5</v>
      </c>
      <c r="H60" s="1" t="s">
        <v>16</v>
      </c>
      <c r="I60" s="1" t="s">
        <v>15</v>
      </c>
      <c r="J60" s="1" t="str">
        <f>_xlfn.XLOOKUP(TRIM(Table1[[#This Row],[Status2]]),Data_profiling!$A$9:$A$14,Data_profiling!$B$9:$B$14,"Checkmanually")</f>
        <v>Active</v>
      </c>
      <c r="K60" s="1" t="s">
        <v>0</v>
      </c>
    </row>
    <row r="61" spans="1:11" x14ac:dyDescent="0.35">
      <c r="A61" s="1" t="s">
        <v>297</v>
      </c>
      <c r="B61" s="1" t="s">
        <v>296</v>
      </c>
      <c r="C61" s="1" t="s">
        <v>267</v>
      </c>
      <c r="D61" s="1" t="s">
        <v>283</v>
      </c>
      <c r="E61" s="5"/>
      <c r="F61" s="2">
        <v>54.25</v>
      </c>
      <c r="G61" s="2">
        <v>72.930000000000007</v>
      </c>
      <c r="H61" s="1" t="s">
        <v>173</v>
      </c>
      <c r="I61" s="1" t="s">
        <v>45</v>
      </c>
      <c r="J61" s="1" t="str">
        <f>_xlfn.XLOOKUP(TRIM(Table1[[#This Row],[Status2]]),Data_profiling!$A$9:$A$14,Data_profiling!$B$9:$B$14,"Checkmanually")</f>
        <v>Active</v>
      </c>
      <c r="K61" s="1" t="s">
        <v>0</v>
      </c>
    </row>
    <row r="62" spans="1:11" x14ac:dyDescent="0.35">
      <c r="A62" s="1" t="s">
        <v>295</v>
      </c>
      <c r="B62" s="1" t="s">
        <v>294</v>
      </c>
      <c r="C62" s="1" t="s">
        <v>267</v>
      </c>
      <c r="D62" s="1" t="s">
        <v>266</v>
      </c>
      <c r="E62" s="1" t="s">
        <v>293</v>
      </c>
      <c r="F62" s="2">
        <v>221.72</v>
      </c>
      <c r="G62" s="2">
        <v>318.62</v>
      </c>
      <c r="H62" s="1" t="s">
        <v>165</v>
      </c>
      <c r="I62" s="1" t="s">
        <v>25</v>
      </c>
      <c r="J62" s="1" t="str">
        <f>_xlfn.XLOOKUP(TRIM(Table1[[#This Row],[Status2]]),Data_profiling!$A$9:$A$14,Data_profiling!$B$9:$B$14,"Checkmanually")</f>
        <v>Active</v>
      </c>
      <c r="K62" s="1" t="s">
        <v>0</v>
      </c>
    </row>
    <row r="63" spans="1:11" x14ac:dyDescent="0.35">
      <c r="A63" s="1" t="s">
        <v>292</v>
      </c>
      <c r="B63" s="1" t="s">
        <v>291</v>
      </c>
      <c r="C63" s="1" t="s">
        <v>267</v>
      </c>
      <c r="D63" s="1" t="s">
        <v>290</v>
      </c>
      <c r="E63" s="1" t="s">
        <v>289</v>
      </c>
      <c r="F63" s="2">
        <v>325.61</v>
      </c>
      <c r="G63" s="2">
        <v>298.81</v>
      </c>
      <c r="H63" s="1" t="s">
        <v>232</v>
      </c>
      <c r="I63" s="1" t="s">
        <v>45</v>
      </c>
      <c r="J63" s="1" t="str">
        <f>_xlfn.XLOOKUP(TRIM(Table1[[#This Row],[Status2]]),Data_profiling!$A$9:$A$14,Data_profiling!$B$9:$B$14,"Checkmanually")</f>
        <v>Active</v>
      </c>
      <c r="K63" s="1" t="s">
        <v>0</v>
      </c>
    </row>
    <row r="64" spans="1:11" x14ac:dyDescent="0.35">
      <c r="A64" s="1" t="s">
        <v>288</v>
      </c>
      <c r="B64" s="1" t="s">
        <v>287</v>
      </c>
      <c r="C64" s="1" t="s">
        <v>267</v>
      </c>
      <c r="D64" s="1" t="s">
        <v>266</v>
      </c>
      <c r="E64" s="1" t="s">
        <v>265</v>
      </c>
      <c r="F64" s="2">
        <v>54.32</v>
      </c>
      <c r="G64" s="2">
        <v>42.16</v>
      </c>
      <c r="H64" s="1" t="s">
        <v>286</v>
      </c>
      <c r="I64" s="1" t="s">
        <v>20</v>
      </c>
      <c r="J64" s="1" t="str">
        <f>_xlfn.XLOOKUP(TRIM(Table1[[#This Row],[Status2]]),Data_profiling!$A$9:$A$14,Data_profiling!$B$9:$B$14,"Checkmanually")</f>
        <v>Active</v>
      </c>
      <c r="K64" s="1" t="s">
        <v>0</v>
      </c>
    </row>
    <row r="65" spans="1:11" x14ac:dyDescent="0.35">
      <c r="A65" s="1" t="s">
        <v>285</v>
      </c>
      <c r="B65" s="1" t="s">
        <v>284</v>
      </c>
      <c r="C65" s="1" t="s">
        <v>267</v>
      </c>
      <c r="D65" s="1" t="s">
        <v>283</v>
      </c>
      <c r="E65" s="1" t="s">
        <v>265</v>
      </c>
      <c r="F65" s="2">
        <v>275.67</v>
      </c>
      <c r="G65" s="2">
        <v>386.17</v>
      </c>
      <c r="H65" s="1" t="s">
        <v>154</v>
      </c>
      <c r="I65" s="1" t="s">
        <v>15</v>
      </c>
      <c r="J65" s="1" t="str">
        <f>_xlfn.XLOOKUP(TRIM(Table1[[#This Row],[Status2]]),Data_profiling!$A$9:$A$14,Data_profiling!$B$9:$B$14,"Checkmanually")</f>
        <v>Active</v>
      </c>
      <c r="K65" s="1" t="s">
        <v>0</v>
      </c>
    </row>
    <row r="66" spans="1:11" x14ac:dyDescent="0.35">
      <c r="A66" s="1" t="s">
        <v>282</v>
      </c>
      <c r="B66" s="1" t="s">
        <v>281</v>
      </c>
      <c r="C66" s="1" t="s">
        <v>267</v>
      </c>
      <c r="D66" s="1" t="s">
        <v>280</v>
      </c>
      <c r="E66" s="1" t="s">
        <v>273</v>
      </c>
      <c r="F66" s="2">
        <v>199.16</v>
      </c>
      <c r="G66" s="2">
        <v>159.5</v>
      </c>
      <c r="H66" s="1" t="s">
        <v>279</v>
      </c>
      <c r="I66" s="1" t="s">
        <v>25</v>
      </c>
      <c r="J66" s="1" t="str">
        <f>_xlfn.XLOOKUP(TRIM(Table1[[#This Row],[Status2]]),Data_profiling!$A$9:$A$14,Data_profiling!$B$9:$B$14,"Checkmanually")</f>
        <v>Active</v>
      </c>
      <c r="K66" s="1" t="s">
        <v>0</v>
      </c>
    </row>
    <row r="67" spans="1:11" x14ac:dyDescent="0.35">
      <c r="A67" s="1" t="s">
        <v>278</v>
      </c>
      <c r="B67" s="1" t="s">
        <v>277</v>
      </c>
      <c r="C67" s="1" t="s">
        <v>267</v>
      </c>
      <c r="D67" s="1" t="s">
        <v>266</v>
      </c>
      <c r="E67" s="1" t="s">
        <v>273</v>
      </c>
      <c r="F67" s="2">
        <v>365.57</v>
      </c>
      <c r="G67" s="2">
        <v>491.81</v>
      </c>
      <c r="H67" s="1" t="s">
        <v>276</v>
      </c>
      <c r="I67" s="1" t="s">
        <v>1</v>
      </c>
      <c r="J67" s="1" t="str">
        <f>_xlfn.XLOOKUP(TRIM(Table1[[#This Row],[Status2]]),Data_profiling!$A$9:$A$14,Data_profiling!$B$9:$B$14,"Checkmanually")</f>
        <v>Active</v>
      </c>
      <c r="K67" s="1" t="s">
        <v>0</v>
      </c>
    </row>
    <row r="68" spans="1:11" x14ac:dyDescent="0.35">
      <c r="A68" s="1" t="s">
        <v>275</v>
      </c>
      <c r="B68" s="1" t="s">
        <v>274</v>
      </c>
      <c r="C68" s="1" t="s">
        <v>267</v>
      </c>
      <c r="D68" s="1" t="s">
        <v>266</v>
      </c>
      <c r="E68" s="1" t="s">
        <v>273</v>
      </c>
      <c r="F68" s="2">
        <v>135.66</v>
      </c>
      <c r="G68" s="2">
        <v>186.38</v>
      </c>
      <c r="H68" s="1" t="s">
        <v>214</v>
      </c>
      <c r="I68" s="1" t="s">
        <v>45</v>
      </c>
      <c r="J68" s="1" t="str">
        <f>_xlfn.XLOOKUP(TRIM(Table1[[#This Row],[Status2]]),Data_profiling!$A$9:$A$14,Data_profiling!$B$9:$B$14,"Checkmanually")</f>
        <v>Active</v>
      </c>
      <c r="K68" s="1" t="s">
        <v>0</v>
      </c>
    </row>
    <row r="69" spans="1:11" x14ac:dyDescent="0.35">
      <c r="A69" s="1" t="s">
        <v>272</v>
      </c>
      <c r="B69" s="1" t="s">
        <v>271</v>
      </c>
      <c r="C69" s="1" t="s">
        <v>267</v>
      </c>
      <c r="D69" s="1" t="s">
        <v>266</v>
      </c>
      <c r="E69" s="1" t="s">
        <v>265</v>
      </c>
      <c r="F69" s="2">
        <v>160.97999999999999</v>
      </c>
      <c r="G69" s="2">
        <v>232.2</v>
      </c>
      <c r="H69" s="1" t="s">
        <v>270</v>
      </c>
      <c r="I69" s="1" t="s">
        <v>15</v>
      </c>
      <c r="J69" s="1" t="str">
        <f>_xlfn.XLOOKUP(TRIM(Table1[[#This Row],[Status2]]),Data_profiling!$A$9:$A$14,Data_profiling!$B$9:$B$14,"Checkmanually")</f>
        <v>Active</v>
      </c>
      <c r="K69" s="1" t="s">
        <v>0</v>
      </c>
    </row>
    <row r="70" spans="1:11" x14ac:dyDescent="0.35">
      <c r="A70" s="1" t="s">
        <v>269</v>
      </c>
      <c r="B70" s="1" t="s">
        <v>268</v>
      </c>
      <c r="C70" s="1" t="s">
        <v>267</v>
      </c>
      <c r="D70" s="1" t="s">
        <v>266</v>
      </c>
      <c r="E70" s="1" t="s">
        <v>265</v>
      </c>
      <c r="F70" s="2">
        <v>336.8</v>
      </c>
      <c r="G70" s="2">
        <v>468.94</v>
      </c>
      <c r="H70" s="1" t="s">
        <v>206</v>
      </c>
      <c r="I70" s="1" t="s">
        <v>1</v>
      </c>
      <c r="J70" s="1" t="str">
        <f>_xlfn.XLOOKUP(TRIM(Table1[[#This Row],[Status2]]),Data_profiling!$A$9:$A$14,Data_profiling!$B$9:$B$14,"Checkmanually")</f>
        <v>Active</v>
      </c>
      <c r="K70" s="1" t="s">
        <v>0</v>
      </c>
    </row>
    <row r="71" spans="1:11" x14ac:dyDescent="0.35">
      <c r="A71" s="1" t="s">
        <v>264</v>
      </c>
      <c r="B71" s="1" t="s">
        <v>263</v>
      </c>
      <c r="C71" s="1" t="s">
        <v>229</v>
      </c>
      <c r="D71" s="1" t="s">
        <v>228</v>
      </c>
      <c r="E71" s="1" t="s">
        <v>248</v>
      </c>
      <c r="F71" s="2">
        <v>188.98</v>
      </c>
      <c r="G71" s="2">
        <v>233.47</v>
      </c>
      <c r="H71" s="1" t="s">
        <v>262</v>
      </c>
      <c r="I71" s="1" t="s">
        <v>1</v>
      </c>
      <c r="J71" s="1" t="str">
        <f>_xlfn.XLOOKUP(TRIM(Table1[[#This Row],[Status2]]),Data_profiling!$A$9:$A$14,Data_profiling!$B$9:$B$14,"Checkmanually")</f>
        <v>Active</v>
      </c>
      <c r="K71" s="1" t="s">
        <v>0</v>
      </c>
    </row>
    <row r="72" spans="1:11" x14ac:dyDescent="0.35">
      <c r="A72" s="1" t="s">
        <v>261</v>
      </c>
      <c r="B72" s="1" t="s">
        <v>260</v>
      </c>
      <c r="C72" s="1" t="s">
        <v>229</v>
      </c>
      <c r="D72" s="1" t="s">
        <v>228</v>
      </c>
      <c r="E72" s="1" t="s">
        <v>227</v>
      </c>
      <c r="F72" s="2">
        <v>43.01</v>
      </c>
      <c r="G72" s="2">
        <v>53.39</v>
      </c>
      <c r="H72" s="1" t="s">
        <v>89</v>
      </c>
      <c r="I72" s="1" t="s">
        <v>15</v>
      </c>
      <c r="J72" s="1" t="str">
        <f>_xlfn.XLOOKUP(TRIM(Table1[[#This Row],[Status2]]),Data_profiling!$A$9:$A$14,Data_profiling!$B$9:$B$14,"Checkmanually")</f>
        <v>Active</v>
      </c>
      <c r="K72" s="1" t="s">
        <v>0</v>
      </c>
    </row>
    <row r="73" spans="1:11" x14ac:dyDescent="0.35">
      <c r="A73" s="1" t="s">
        <v>259</v>
      </c>
      <c r="B73" s="1" t="s">
        <v>258</v>
      </c>
      <c r="C73" s="1" t="s">
        <v>229</v>
      </c>
      <c r="D73" s="1" t="s">
        <v>236</v>
      </c>
      <c r="E73" s="1" t="s">
        <v>227</v>
      </c>
      <c r="F73" s="2">
        <v>263.85000000000002</v>
      </c>
      <c r="G73" s="2">
        <v>340.25</v>
      </c>
      <c r="H73" s="1" t="s">
        <v>71</v>
      </c>
      <c r="I73" s="1" t="s">
        <v>1</v>
      </c>
      <c r="J73" s="1" t="str">
        <f>_xlfn.XLOOKUP(TRIM(Table1[[#This Row],[Status2]]),Data_profiling!$A$9:$A$14,Data_profiling!$B$9:$B$14,"Checkmanually")</f>
        <v>Active</v>
      </c>
      <c r="K73" s="1" t="s">
        <v>0</v>
      </c>
    </row>
    <row r="74" spans="1:11" x14ac:dyDescent="0.35">
      <c r="A74" s="1" t="s">
        <v>257</v>
      </c>
      <c r="B74" s="1" t="s">
        <v>256</v>
      </c>
      <c r="C74" s="1" t="s">
        <v>229</v>
      </c>
      <c r="D74" s="1" t="s">
        <v>228</v>
      </c>
      <c r="E74" s="1" t="s">
        <v>248</v>
      </c>
      <c r="F74" s="2">
        <v>319.05</v>
      </c>
      <c r="G74" s="2">
        <v>392.68</v>
      </c>
      <c r="H74" s="1" t="s">
        <v>255</v>
      </c>
      <c r="I74" s="1" t="s">
        <v>45</v>
      </c>
      <c r="J74" s="1" t="str">
        <f>_xlfn.XLOOKUP(TRIM(Table1[[#This Row],[Status2]]),Data_profiling!$A$9:$A$14,Data_profiling!$B$9:$B$14,"Checkmanually")</f>
        <v>Active</v>
      </c>
      <c r="K74" s="1" t="s">
        <v>0</v>
      </c>
    </row>
    <row r="75" spans="1:11" x14ac:dyDescent="0.35">
      <c r="A75" s="1" t="s">
        <v>254</v>
      </c>
      <c r="B75" s="1" t="s">
        <v>253</v>
      </c>
      <c r="C75" s="1" t="s">
        <v>229</v>
      </c>
      <c r="D75" s="1" t="s">
        <v>244</v>
      </c>
      <c r="E75" s="1" t="s">
        <v>248</v>
      </c>
      <c r="F75" s="2">
        <v>314.26</v>
      </c>
      <c r="G75" s="2">
        <v>414.29</v>
      </c>
      <c r="H75" s="1" t="s">
        <v>252</v>
      </c>
      <c r="I75" s="1" t="s">
        <v>1</v>
      </c>
      <c r="J75" s="1" t="str">
        <f>_xlfn.XLOOKUP(TRIM(Table1[[#This Row],[Status2]]),Data_profiling!$A$9:$A$14,Data_profiling!$B$9:$B$14,"Checkmanually")</f>
        <v>Active</v>
      </c>
      <c r="K75" s="1" t="s">
        <v>0</v>
      </c>
    </row>
    <row r="76" spans="1:11" x14ac:dyDescent="0.35">
      <c r="A76" s="1" t="s">
        <v>251</v>
      </c>
      <c r="B76" s="1" t="s">
        <v>176</v>
      </c>
      <c r="C76" s="1" t="s">
        <v>229</v>
      </c>
      <c r="D76" s="1" t="s">
        <v>228</v>
      </c>
      <c r="E76" s="1" t="s">
        <v>248</v>
      </c>
      <c r="F76" s="2">
        <v>225.28</v>
      </c>
      <c r="G76" s="2">
        <v>297.32</v>
      </c>
      <c r="H76" s="1" t="s">
        <v>243</v>
      </c>
      <c r="I76" s="1" t="s">
        <v>1</v>
      </c>
      <c r="J76" s="1" t="str">
        <f>_xlfn.XLOOKUP(TRIM(Table1[[#This Row],[Status2]]),Data_profiling!$A$9:$A$14,Data_profiling!$B$9:$B$14,"Checkmanually")</f>
        <v>Active</v>
      </c>
      <c r="K76" s="1" t="s">
        <v>0</v>
      </c>
    </row>
    <row r="77" spans="1:11" x14ac:dyDescent="0.35">
      <c r="A77" s="1" t="s">
        <v>250</v>
      </c>
      <c r="B77" s="1" t="s">
        <v>249</v>
      </c>
      <c r="C77" s="1" t="s">
        <v>229</v>
      </c>
      <c r="D77" s="1" t="s">
        <v>244</v>
      </c>
      <c r="E77" s="1" t="s">
        <v>248</v>
      </c>
      <c r="F77" s="2">
        <v>320.19</v>
      </c>
      <c r="G77" s="2">
        <v>395.66</v>
      </c>
      <c r="H77" s="1" t="s">
        <v>247</v>
      </c>
      <c r="I77" s="1" t="s">
        <v>1</v>
      </c>
      <c r="J77" s="1" t="str">
        <f>_xlfn.XLOOKUP(TRIM(Table1[[#This Row],[Status2]]),Data_profiling!$A$9:$A$14,Data_profiling!$B$9:$B$14,"Checkmanually")</f>
        <v>Active</v>
      </c>
      <c r="K77" s="1" t="s">
        <v>0</v>
      </c>
    </row>
    <row r="78" spans="1:11" x14ac:dyDescent="0.35">
      <c r="A78" s="1" t="s">
        <v>246</v>
      </c>
      <c r="B78" s="1" t="s">
        <v>245</v>
      </c>
      <c r="C78" s="1" t="s">
        <v>229</v>
      </c>
      <c r="D78" s="1" t="s">
        <v>244</v>
      </c>
      <c r="E78" s="1" t="s">
        <v>9</v>
      </c>
      <c r="F78" s="2">
        <v>68.17</v>
      </c>
      <c r="G78" s="2">
        <v>86.11</v>
      </c>
      <c r="H78" s="1" t="s">
        <v>243</v>
      </c>
      <c r="I78" s="1" t="s">
        <v>1</v>
      </c>
      <c r="J78" s="1" t="str">
        <f>_xlfn.XLOOKUP(TRIM(Table1[[#This Row],[Status2]]),Data_profiling!$A$9:$A$14,Data_profiling!$B$9:$B$14,"Checkmanually")</f>
        <v>Inactive</v>
      </c>
      <c r="K78" s="1" t="s">
        <v>242</v>
      </c>
    </row>
    <row r="79" spans="1:11" x14ac:dyDescent="0.35">
      <c r="A79" s="1" t="s">
        <v>241</v>
      </c>
      <c r="B79" s="1" t="s">
        <v>240</v>
      </c>
      <c r="C79" s="1" t="s">
        <v>229</v>
      </c>
      <c r="D79" s="1" t="s">
        <v>233</v>
      </c>
      <c r="E79" s="1" t="s">
        <v>9</v>
      </c>
      <c r="F79" s="2">
        <v>215.03</v>
      </c>
      <c r="G79" s="2">
        <v>261.55</v>
      </c>
      <c r="H79" s="1" t="s">
        <v>239</v>
      </c>
      <c r="I79" s="1" t="s">
        <v>45</v>
      </c>
      <c r="J79" s="1" t="str">
        <f>_xlfn.XLOOKUP(TRIM(Table1[[#This Row],[Status2]]),Data_profiling!$A$9:$A$14,Data_profiling!$B$9:$B$14,"Checkmanually")</f>
        <v>Active</v>
      </c>
      <c r="K79" s="1" t="s">
        <v>0</v>
      </c>
    </row>
    <row r="80" spans="1:11" x14ac:dyDescent="0.35">
      <c r="A80" s="1" t="s">
        <v>238</v>
      </c>
      <c r="B80" s="1" t="s">
        <v>237</v>
      </c>
      <c r="C80" s="1" t="s">
        <v>229</v>
      </c>
      <c r="D80" s="1" t="s">
        <v>236</v>
      </c>
      <c r="E80" s="1" t="s">
        <v>227</v>
      </c>
      <c r="F80" s="2">
        <v>194.06</v>
      </c>
      <c r="G80" s="2">
        <v>260.93</v>
      </c>
      <c r="H80" s="1" t="s">
        <v>8</v>
      </c>
      <c r="I80" s="5"/>
      <c r="J80" s="5" t="str">
        <f>_xlfn.XLOOKUP(TRIM(Table1[[#This Row],[Status2]]),Data_profiling!$A$9:$A$14,Data_profiling!$B$9:$B$14,"Checkmanually")</f>
        <v>Active</v>
      </c>
      <c r="K80" s="1" t="s">
        <v>0</v>
      </c>
    </row>
    <row r="81" spans="1:11" x14ac:dyDescent="0.35">
      <c r="A81" s="1" t="s">
        <v>235</v>
      </c>
      <c r="B81" s="1" t="s">
        <v>234</v>
      </c>
      <c r="C81" s="1" t="s">
        <v>229</v>
      </c>
      <c r="D81" s="1" t="s">
        <v>233</v>
      </c>
      <c r="E81" s="1" t="s">
        <v>9</v>
      </c>
      <c r="F81" s="2">
        <v>206.3</v>
      </c>
      <c r="G81" s="2">
        <v>275.70999999999998</v>
      </c>
      <c r="H81" s="1" t="s">
        <v>232</v>
      </c>
      <c r="I81" s="1" t="s">
        <v>1</v>
      </c>
      <c r="J81" s="1" t="str">
        <f>_xlfn.XLOOKUP(TRIM(Table1[[#This Row],[Status2]]),Data_profiling!$A$9:$A$14,Data_profiling!$B$9:$B$14,"Checkmanually")</f>
        <v>Active</v>
      </c>
      <c r="K81" s="1" t="s">
        <v>0</v>
      </c>
    </row>
    <row r="82" spans="1:11" x14ac:dyDescent="0.35">
      <c r="A82" s="1" t="s">
        <v>231</v>
      </c>
      <c r="B82" s="1" t="s">
        <v>230</v>
      </c>
      <c r="C82" s="1" t="s">
        <v>229</v>
      </c>
      <c r="D82" s="1" t="s">
        <v>228</v>
      </c>
      <c r="E82" s="1" t="s">
        <v>227</v>
      </c>
      <c r="F82" s="2">
        <v>44.96</v>
      </c>
      <c r="G82" s="2">
        <v>55.81</v>
      </c>
      <c r="H82" s="1" t="s">
        <v>226</v>
      </c>
      <c r="I82" s="1" t="s">
        <v>20</v>
      </c>
      <c r="J82" s="1" t="str">
        <f>_xlfn.XLOOKUP(TRIM(Table1[[#This Row],[Status2]]),Data_profiling!$A$9:$A$14,Data_profiling!$B$9:$B$14,"Checkmanually")</f>
        <v>Active</v>
      </c>
      <c r="K82" s="1" t="s">
        <v>0</v>
      </c>
    </row>
    <row r="83" spans="1:11" x14ac:dyDescent="0.35">
      <c r="A83" s="1" t="s">
        <v>225</v>
      </c>
      <c r="B83" s="1" t="s">
        <v>224</v>
      </c>
      <c r="C83" s="1" t="s">
        <v>194</v>
      </c>
      <c r="D83" s="1" t="s">
        <v>193</v>
      </c>
      <c r="E83" s="1" t="s">
        <v>166</v>
      </c>
      <c r="F83" s="2">
        <v>192.41</v>
      </c>
      <c r="G83" s="2">
        <v>232.92</v>
      </c>
      <c r="H83" s="1" t="s">
        <v>214</v>
      </c>
      <c r="I83" s="1" t="s">
        <v>1</v>
      </c>
      <c r="J83" s="1" t="str">
        <f>_xlfn.XLOOKUP(TRIM(Table1[[#This Row],[Status2]]),Data_profiling!$A$9:$A$14,Data_profiling!$B$9:$B$14,"Checkmanually")</f>
        <v>Active</v>
      </c>
      <c r="K83" s="1" t="s">
        <v>0</v>
      </c>
    </row>
    <row r="84" spans="1:11" x14ac:dyDescent="0.35">
      <c r="A84" s="1" t="s">
        <v>223</v>
      </c>
      <c r="B84" s="1" t="s">
        <v>222</v>
      </c>
      <c r="C84" s="1" t="s">
        <v>221</v>
      </c>
      <c r="D84" s="1" t="s">
        <v>193</v>
      </c>
      <c r="E84" s="1" t="s">
        <v>166</v>
      </c>
      <c r="F84" s="2">
        <v>357.47</v>
      </c>
      <c r="G84" s="2">
        <v>425.88</v>
      </c>
      <c r="H84" s="1" t="s">
        <v>220</v>
      </c>
      <c r="I84" s="1" t="s">
        <v>15</v>
      </c>
      <c r="J84" s="1" t="str">
        <f>_xlfn.XLOOKUP(TRIM(Table1[[#This Row],[Status2]]),Data_profiling!$A$9:$A$14,Data_profiling!$B$9:$B$14,"Checkmanually")</f>
        <v>Active</v>
      </c>
      <c r="K84" s="1" t="s">
        <v>0</v>
      </c>
    </row>
    <row r="85" spans="1:11" x14ac:dyDescent="0.35">
      <c r="A85" s="1" t="s">
        <v>219</v>
      </c>
      <c r="B85" s="1" t="s">
        <v>218</v>
      </c>
      <c r="C85" s="1" t="s">
        <v>194</v>
      </c>
      <c r="D85" s="1" t="s">
        <v>193</v>
      </c>
      <c r="E85" s="1" t="s">
        <v>160</v>
      </c>
      <c r="F85" s="2">
        <v>182.17</v>
      </c>
      <c r="G85" s="2">
        <v>221.61</v>
      </c>
      <c r="H85" s="1" t="s">
        <v>217</v>
      </c>
      <c r="I85" s="1" t="s">
        <v>45</v>
      </c>
      <c r="J85" s="1" t="str">
        <f>_xlfn.XLOOKUP(TRIM(Table1[[#This Row],[Status2]]),Data_profiling!$A$9:$A$14,Data_profiling!$B$9:$B$14,"Checkmanually")</f>
        <v>Inactive</v>
      </c>
      <c r="K85" s="1" t="s">
        <v>216</v>
      </c>
    </row>
    <row r="86" spans="1:11" x14ac:dyDescent="0.35">
      <c r="A86" s="1" t="s">
        <v>215</v>
      </c>
      <c r="B86" s="1" t="s">
        <v>120</v>
      </c>
      <c r="C86" s="1" t="s">
        <v>194</v>
      </c>
      <c r="D86" s="1" t="s">
        <v>193</v>
      </c>
      <c r="E86" s="1" t="s">
        <v>160</v>
      </c>
      <c r="F86" s="2">
        <v>336.07</v>
      </c>
      <c r="G86" s="2">
        <v>389.61</v>
      </c>
      <c r="H86" s="1" t="s">
        <v>214</v>
      </c>
      <c r="I86" s="1" t="s">
        <v>25</v>
      </c>
      <c r="J86" s="1" t="str">
        <f>_xlfn.XLOOKUP(TRIM(Table1[[#This Row],[Status2]]),Data_profiling!$A$9:$A$14,Data_profiling!$B$9:$B$14,"Checkmanually")</f>
        <v>Active</v>
      </c>
      <c r="K86" s="1" t="s">
        <v>0</v>
      </c>
    </row>
    <row r="87" spans="1:11" x14ac:dyDescent="0.35">
      <c r="A87" s="1" t="s">
        <v>213</v>
      </c>
      <c r="B87" s="1" t="s">
        <v>212</v>
      </c>
      <c r="C87" s="1" t="s">
        <v>194</v>
      </c>
      <c r="D87" s="1" t="s">
        <v>193</v>
      </c>
      <c r="E87" s="1" t="s">
        <v>160</v>
      </c>
      <c r="F87" s="2">
        <v>274.61</v>
      </c>
      <c r="G87" s="2">
        <v>327.08</v>
      </c>
      <c r="H87" s="1" t="s">
        <v>211</v>
      </c>
      <c r="I87" s="1" t="s">
        <v>1</v>
      </c>
      <c r="J87" s="1" t="str">
        <f>_xlfn.XLOOKUP(TRIM(Table1[[#This Row],[Status2]]),Data_profiling!$A$9:$A$14,Data_profiling!$B$9:$B$14,"Checkmanually")</f>
        <v>Active</v>
      </c>
      <c r="K87" s="1" t="s">
        <v>0</v>
      </c>
    </row>
    <row r="88" spans="1:11" x14ac:dyDescent="0.35">
      <c r="A88" s="1" t="s">
        <v>210</v>
      </c>
      <c r="B88" s="1" t="s">
        <v>209</v>
      </c>
      <c r="C88" s="1" t="s">
        <v>194</v>
      </c>
      <c r="D88" s="1" t="s">
        <v>193</v>
      </c>
      <c r="E88" s="1" t="s">
        <v>166</v>
      </c>
      <c r="F88" s="2">
        <v>59.37</v>
      </c>
      <c r="G88" s="2">
        <v>71.290000000000006</v>
      </c>
      <c r="H88" s="1" t="s">
        <v>112</v>
      </c>
      <c r="I88" s="1" t="s">
        <v>15</v>
      </c>
      <c r="J88" s="1" t="str">
        <f>_xlfn.XLOOKUP(TRIM(Table1[[#This Row],[Status2]]),Data_profiling!$A$9:$A$14,Data_profiling!$B$9:$B$14,"Checkmanually")</f>
        <v>Active</v>
      </c>
      <c r="K88" s="1" t="s">
        <v>0</v>
      </c>
    </row>
    <row r="89" spans="1:11" x14ac:dyDescent="0.35">
      <c r="A89" s="1" t="s">
        <v>208</v>
      </c>
      <c r="B89" s="1" t="s">
        <v>207</v>
      </c>
      <c r="C89" s="1" t="s">
        <v>194</v>
      </c>
      <c r="D89" s="1" t="s">
        <v>193</v>
      </c>
      <c r="E89" s="1" t="s">
        <v>160</v>
      </c>
      <c r="F89" s="2">
        <v>341.24</v>
      </c>
      <c r="G89" s="2">
        <v>404.97</v>
      </c>
      <c r="H89" s="1" t="s">
        <v>206</v>
      </c>
      <c r="I89" s="1" t="s">
        <v>20</v>
      </c>
      <c r="J89" s="1" t="str">
        <f>_xlfn.XLOOKUP(TRIM(Table1[[#This Row],[Status2]]),Data_profiling!$A$9:$A$14,Data_profiling!$B$9:$B$14,"Checkmanually")</f>
        <v>Active</v>
      </c>
      <c r="K89" s="1" t="s">
        <v>0</v>
      </c>
    </row>
    <row r="90" spans="1:11" x14ac:dyDescent="0.35">
      <c r="A90" s="1" t="s">
        <v>205</v>
      </c>
      <c r="B90" s="1" t="s">
        <v>204</v>
      </c>
      <c r="C90" s="1" t="s">
        <v>194</v>
      </c>
      <c r="D90" s="1" t="s">
        <v>193</v>
      </c>
      <c r="E90" s="1" t="s">
        <v>166</v>
      </c>
      <c r="F90" s="2">
        <v>251.42</v>
      </c>
      <c r="G90" s="2">
        <v>305.67</v>
      </c>
      <c r="H90" s="1" t="s">
        <v>203</v>
      </c>
      <c r="I90" s="1" t="s">
        <v>1</v>
      </c>
      <c r="J90" s="1" t="str">
        <f>_xlfn.XLOOKUP(TRIM(Table1[[#This Row],[Status2]]),Data_profiling!$A$9:$A$14,Data_profiling!$B$9:$B$14,"Checkmanually")</f>
        <v>Active</v>
      </c>
      <c r="K90" s="1" t="s">
        <v>0</v>
      </c>
    </row>
    <row r="91" spans="1:11" x14ac:dyDescent="0.35">
      <c r="A91" s="1" t="s">
        <v>202</v>
      </c>
      <c r="B91" s="1" t="s">
        <v>201</v>
      </c>
      <c r="C91" s="1" t="s">
        <v>194</v>
      </c>
      <c r="D91" s="1" t="s">
        <v>193</v>
      </c>
      <c r="E91" s="1" t="s">
        <v>166</v>
      </c>
      <c r="F91" s="2">
        <v>370.18</v>
      </c>
      <c r="G91" s="2">
        <v>438.7</v>
      </c>
      <c r="H91" s="1" t="s">
        <v>21</v>
      </c>
      <c r="I91" s="1" t="s">
        <v>45</v>
      </c>
      <c r="J91" s="1" t="str">
        <f>_xlfn.XLOOKUP(TRIM(Table1[[#This Row],[Status2]]),Data_profiling!$A$9:$A$14,Data_profiling!$B$9:$B$14,"Checkmanually")</f>
        <v>Active</v>
      </c>
      <c r="K91" s="1" t="s">
        <v>0</v>
      </c>
    </row>
    <row r="92" spans="1:11" x14ac:dyDescent="0.35">
      <c r="A92" s="1" t="s">
        <v>200</v>
      </c>
      <c r="B92" s="1" t="s">
        <v>199</v>
      </c>
      <c r="C92" s="1" t="s">
        <v>198</v>
      </c>
      <c r="D92" s="1" t="s">
        <v>193</v>
      </c>
      <c r="E92" s="1" t="s">
        <v>160</v>
      </c>
      <c r="F92" s="2">
        <v>301.57</v>
      </c>
      <c r="G92" s="2">
        <v>376.11</v>
      </c>
      <c r="H92" s="1" t="s">
        <v>197</v>
      </c>
      <c r="I92" s="1" t="s">
        <v>20</v>
      </c>
      <c r="J92" s="1" t="str">
        <f>_xlfn.XLOOKUP(TRIM(Table1[[#This Row],[Status2]]),Data_profiling!$A$9:$A$14,Data_profiling!$B$9:$B$14,"Checkmanually")</f>
        <v>Active</v>
      </c>
      <c r="K92" s="1" t="s">
        <v>0</v>
      </c>
    </row>
    <row r="93" spans="1:11" x14ac:dyDescent="0.35">
      <c r="A93" s="1" t="s">
        <v>196</v>
      </c>
      <c r="B93" s="1" t="s">
        <v>195</v>
      </c>
      <c r="C93" s="1" t="s">
        <v>194</v>
      </c>
      <c r="D93" s="1" t="s">
        <v>193</v>
      </c>
      <c r="E93" s="1" t="s">
        <v>166</v>
      </c>
      <c r="F93" s="2">
        <v>192.39</v>
      </c>
      <c r="G93" s="2">
        <v>224.28</v>
      </c>
      <c r="H93" s="1" t="s">
        <v>16</v>
      </c>
      <c r="I93" s="1" t="s">
        <v>25</v>
      </c>
      <c r="J93" s="1" t="str">
        <f>_xlfn.XLOOKUP(TRIM(Table1[[#This Row],[Status2]]),Data_profiling!$A$9:$A$14,Data_profiling!$B$9:$B$14,"Checkmanually")</f>
        <v>Active</v>
      </c>
      <c r="K93" s="1" t="s">
        <v>0</v>
      </c>
    </row>
    <row r="94" spans="1:11" x14ac:dyDescent="0.35">
      <c r="A94" s="1" t="s">
        <v>192</v>
      </c>
      <c r="B94" s="1" t="s">
        <v>191</v>
      </c>
      <c r="C94" s="1" t="s">
        <v>162</v>
      </c>
      <c r="D94" s="1" t="s">
        <v>161</v>
      </c>
      <c r="E94" s="1" t="s">
        <v>160</v>
      </c>
      <c r="F94" s="2">
        <v>79.819999999999993</v>
      </c>
      <c r="G94" s="2">
        <v>96.72</v>
      </c>
      <c r="H94" s="1" t="s">
        <v>190</v>
      </c>
      <c r="I94" s="1" t="s">
        <v>25</v>
      </c>
      <c r="J94" s="1" t="str">
        <f>_xlfn.XLOOKUP(TRIM(Table1[[#This Row],[Status2]]),Data_profiling!$A$9:$A$14,Data_profiling!$B$9:$B$14,"Checkmanually")</f>
        <v>Active</v>
      </c>
      <c r="K94" s="1" t="s">
        <v>0</v>
      </c>
    </row>
    <row r="95" spans="1:11" x14ac:dyDescent="0.35">
      <c r="A95" s="1" t="s">
        <v>189</v>
      </c>
      <c r="B95" s="1" t="s">
        <v>188</v>
      </c>
      <c r="C95" s="1" t="s">
        <v>162</v>
      </c>
      <c r="D95" s="1" t="s">
        <v>161</v>
      </c>
      <c r="E95" s="5"/>
      <c r="F95" s="2">
        <v>250.69</v>
      </c>
      <c r="G95" s="2">
        <v>298.68</v>
      </c>
      <c r="H95" s="1" t="s">
        <v>187</v>
      </c>
      <c r="I95" s="1" t="s">
        <v>20</v>
      </c>
      <c r="J95" s="1" t="str">
        <f>_xlfn.XLOOKUP(TRIM(Table1[[#This Row],[Status2]]),Data_profiling!$A$9:$A$14,Data_profiling!$B$9:$B$14,"Checkmanually")</f>
        <v>Active</v>
      </c>
      <c r="K95" s="1" t="s">
        <v>0</v>
      </c>
    </row>
    <row r="96" spans="1:11" x14ac:dyDescent="0.35">
      <c r="A96" s="1" t="s">
        <v>186</v>
      </c>
      <c r="B96" s="1" t="s">
        <v>185</v>
      </c>
      <c r="C96" s="1" t="s">
        <v>162</v>
      </c>
      <c r="D96" s="1" t="s">
        <v>161</v>
      </c>
      <c r="E96" s="1" t="s">
        <v>166</v>
      </c>
      <c r="F96" s="2">
        <v>62.14</v>
      </c>
      <c r="G96" s="2">
        <v>75.680000000000007</v>
      </c>
      <c r="H96" s="1" t="s">
        <v>148</v>
      </c>
      <c r="I96" s="1" t="s">
        <v>15</v>
      </c>
      <c r="J96" s="1" t="str">
        <f>_xlfn.XLOOKUP(TRIM(Table1[[#This Row],[Status2]]),Data_profiling!$A$9:$A$14,Data_profiling!$B$9:$B$14,"Checkmanually")</f>
        <v>Active</v>
      </c>
      <c r="K96" s="1" t="s">
        <v>0</v>
      </c>
    </row>
    <row r="97" spans="1:11" x14ac:dyDescent="0.35">
      <c r="A97" s="1" t="s">
        <v>184</v>
      </c>
      <c r="B97" s="1" t="s">
        <v>183</v>
      </c>
      <c r="C97" s="1" t="s">
        <v>162</v>
      </c>
      <c r="D97" s="1" t="s">
        <v>161</v>
      </c>
      <c r="E97" s="1" t="s">
        <v>160</v>
      </c>
      <c r="F97" s="2">
        <v>170.2</v>
      </c>
      <c r="G97" s="2">
        <v>205.93</v>
      </c>
      <c r="H97" s="1" t="s">
        <v>63</v>
      </c>
      <c r="I97" s="1" t="s">
        <v>45</v>
      </c>
      <c r="J97" s="1" t="str">
        <f>_xlfn.XLOOKUP(TRIM(Table1[[#This Row],[Status2]]),Data_profiling!$A$9:$A$14,Data_profiling!$B$9:$B$14,"Checkmanually")</f>
        <v>Active</v>
      </c>
      <c r="K97" s="1" t="s">
        <v>0</v>
      </c>
    </row>
    <row r="98" spans="1:11" x14ac:dyDescent="0.35">
      <c r="A98" s="1" t="s">
        <v>182</v>
      </c>
      <c r="B98" s="1" t="s">
        <v>181</v>
      </c>
      <c r="C98" s="1" t="s">
        <v>162</v>
      </c>
      <c r="D98" s="1" t="s">
        <v>161</v>
      </c>
      <c r="E98" s="1" t="s">
        <v>160</v>
      </c>
      <c r="F98" s="2">
        <v>310.38</v>
      </c>
      <c r="G98" s="2">
        <v>365.92</v>
      </c>
      <c r="H98" s="1" t="s">
        <v>89</v>
      </c>
      <c r="I98" s="1" t="s">
        <v>1</v>
      </c>
      <c r="J98" s="1" t="str">
        <f>_xlfn.XLOOKUP(TRIM(Table1[[#This Row],[Status2]]),Data_profiling!$A$9:$A$14,Data_profiling!$B$9:$B$14,"Checkmanually")</f>
        <v>Active</v>
      </c>
      <c r="K98" s="1" t="s">
        <v>0</v>
      </c>
    </row>
    <row r="99" spans="1:11" x14ac:dyDescent="0.35">
      <c r="A99" s="1" t="s">
        <v>180</v>
      </c>
      <c r="B99" s="1" t="s">
        <v>179</v>
      </c>
      <c r="C99" s="1" t="s">
        <v>162</v>
      </c>
      <c r="D99" s="1" t="s">
        <v>161</v>
      </c>
      <c r="E99" s="5"/>
      <c r="F99" s="2">
        <v>69.09</v>
      </c>
      <c r="G99" s="2">
        <v>83.13</v>
      </c>
      <c r="H99" s="1" t="s">
        <v>178</v>
      </c>
      <c r="I99" s="1" t="s">
        <v>20</v>
      </c>
      <c r="J99" s="1" t="str">
        <f>_xlfn.XLOOKUP(TRIM(Table1[[#This Row],[Status2]]),Data_profiling!$A$9:$A$14,Data_profiling!$B$9:$B$14,"Checkmanually")</f>
        <v>Active</v>
      </c>
      <c r="K99" s="1" t="s">
        <v>0</v>
      </c>
    </row>
    <row r="100" spans="1:11" x14ac:dyDescent="0.35">
      <c r="A100" s="1" t="s">
        <v>177</v>
      </c>
      <c r="B100" s="1" t="s">
        <v>176</v>
      </c>
      <c r="C100" s="1" t="s">
        <v>162</v>
      </c>
      <c r="D100" s="1" t="s">
        <v>161</v>
      </c>
      <c r="E100" s="1" t="s">
        <v>160</v>
      </c>
      <c r="F100" s="2">
        <v>347.47</v>
      </c>
      <c r="G100" s="2">
        <v>401.06</v>
      </c>
      <c r="H100" s="1" t="s">
        <v>71</v>
      </c>
      <c r="I100" s="1" t="s">
        <v>15</v>
      </c>
      <c r="J100" s="1" t="str">
        <f>_xlfn.XLOOKUP(TRIM(Table1[[#This Row],[Status2]]),Data_profiling!$A$9:$A$14,Data_profiling!$B$9:$B$14,"Checkmanually")</f>
        <v>Active</v>
      </c>
      <c r="K100" s="1" t="s">
        <v>0</v>
      </c>
    </row>
    <row r="101" spans="1:11" x14ac:dyDescent="0.35">
      <c r="A101" s="1" t="s">
        <v>175</v>
      </c>
      <c r="B101" s="1" t="s">
        <v>174</v>
      </c>
      <c r="C101" s="1" t="s">
        <v>162</v>
      </c>
      <c r="D101" s="1" t="s">
        <v>161</v>
      </c>
      <c r="E101" s="1" t="s">
        <v>166</v>
      </c>
      <c r="F101" s="2">
        <v>237.89</v>
      </c>
      <c r="G101" s="2">
        <v>290.45</v>
      </c>
      <c r="H101" s="1" t="s">
        <v>173</v>
      </c>
      <c r="I101" s="1" t="s">
        <v>25</v>
      </c>
      <c r="J101" s="1" t="str">
        <f>_xlfn.XLOOKUP(TRIM(Table1[[#This Row],[Status2]]),Data_profiling!$A$9:$A$14,Data_profiling!$B$9:$B$14,"Checkmanually")</f>
        <v>Active</v>
      </c>
      <c r="K101" s="1" t="s">
        <v>0</v>
      </c>
    </row>
    <row r="102" spans="1:11" x14ac:dyDescent="0.35">
      <c r="A102" s="1" t="s">
        <v>172</v>
      </c>
      <c r="B102" s="1" t="s">
        <v>171</v>
      </c>
      <c r="C102" s="1" t="s">
        <v>162</v>
      </c>
      <c r="D102" s="1" t="s">
        <v>161</v>
      </c>
      <c r="E102" s="1" t="s">
        <v>166</v>
      </c>
      <c r="F102" s="2">
        <v>387.16</v>
      </c>
      <c r="G102" s="2">
        <v>451.89</v>
      </c>
      <c r="H102" s="1" t="s">
        <v>107</v>
      </c>
      <c r="I102" s="1" t="s">
        <v>15</v>
      </c>
      <c r="J102" s="1" t="str">
        <f>_xlfn.XLOOKUP(TRIM(Table1[[#This Row],[Status2]]),Data_profiling!$A$9:$A$14,Data_profiling!$B$9:$B$14,"Checkmanually")</f>
        <v>Active</v>
      </c>
      <c r="K102" s="1" t="s">
        <v>0</v>
      </c>
    </row>
    <row r="103" spans="1:11" x14ac:dyDescent="0.35">
      <c r="A103" s="1" t="s">
        <v>170</v>
      </c>
      <c r="B103" s="1" t="s">
        <v>169</v>
      </c>
      <c r="C103" s="1" t="s">
        <v>162</v>
      </c>
      <c r="D103" s="1" t="s">
        <v>161</v>
      </c>
      <c r="E103" s="1" t="s">
        <v>160</v>
      </c>
      <c r="F103" s="2">
        <v>340.9</v>
      </c>
      <c r="G103" s="2">
        <v>400.33</v>
      </c>
      <c r="H103" s="1" t="s">
        <v>148</v>
      </c>
      <c r="I103" s="1" t="s">
        <v>15</v>
      </c>
      <c r="J103" s="1" t="str">
        <f>_xlfn.XLOOKUP(TRIM(Table1[[#This Row],[Status2]]),Data_profiling!$A$9:$A$14,Data_profiling!$B$9:$B$14,"Checkmanually")</f>
        <v>Active</v>
      </c>
      <c r="K103" s="1" t="s">
        <v>0</v>
      </c>
    </row>
    <row r="104" spans="1:11" x14ac:dyDescent="0.35">
      <c r="A104" s="1" t="s">
        <v>168</v>
      </c>
      <c r="B104" s="1" t="s">
        <v>167</v>
      </c>
      <c r="C104" s="1" t="s">
        <v>162</v>
      </c>
      <c r="D104" s="1" t="s">
        <v>161</v>
      </c>
      <c r="E104" s="1" t="s">
        <v>166</v>
      </c>
      <c r="F104" s="2">
        <v>303.41000000000003</v>
      </c>
      <c r="G104" s="2">
        <v>355.64</v>
      </c>
      <c r="H104" s="1" t="s">
        <v>165</v>
      </c>
      <c r="I104" s="1" t="s">
        <v>1</v>
      </c>
      <c r="J104" s="1" t="str">
        <f>_xlfn.XLOOKUP(TRIM(Table1[[#This Row],[Status2]]),Data_profiling!$A$9:$A$14,Data_profiling!$B$9:$B$14,"Checkmanually")</f>
        <v>Active</v>
      </c>
      <c r="K104" s="1" t="s">
        <v>0</v>
      </c>
    </row>
    <row r="105" spans="1:11" x14ac:dyDescent="0.35">
      <c r="A105" s="1" t="s">
        <v>164</v>
      </c>
      <c r="B105" s="1" t="s">
        <v>163</v>
      </c>
      <c r="C105" s="1" t="s">
        <v>162</v>
      </c>
      <c r="D105" s="1" t="s">
        <v>161</v>
      </c>
      <c r="E105" s="1" t="s">
        <v>160</v>
      </c>
      <c r="F105" s="2">
        <v>153.41999999999999</v>
      </c>
      <c r="G105" s="2">
        <v>191.13</v>
      </c>
      <c r="H105" s="1" t="s">
        <v>159</v>
      </c>
      <c r="I105" s="1" t="s">
        <v>45</v>
      </c>
      <c r="J105" s="1" t="str">
        <f>_xlfn.XLOOKUP(TRIM(Table1[[#This Row],[Status2]]),Data_profiling!$A$9:$A$14,Data_profiling!$B$9:$B$14,"Checkmanually")</f>
        <v>Active</v>
      </c>
      <c r="K105" s="1" t="s">
        <v>0</v>
      </c>
    </row>
    <row r="106" spans="1:11" x14ac:dyDescent="0.35">
      <c r="A106" s="1" t="s">
        <v>158</v>
      </c>
      <c r="B106" s="1" t="s">
        <v>157</v>
      </c>
      <c r="C106" s="1" t="s">
        <v>126</v>
      </c>
      <c r="D106" s="1" t="s">
        <v>125</v>
      </c>
      <c r="E106" s="1" t="s">
        <v>143</v>
      </c>
      <c r="F106" s="2">
        <v>117.27</v>
      </c>
      <c r="G106" s="2">
        <v>131.03</v>
      </c>
      <c r="H106" s="1" t="s">
        <v>112</v>
      </c>
      <c r="I106" s="1" t="s">
        <v>1</v>
      </c>
      <c r="J106" s="1" t="str">
        <f>_xlfn.XLOOKUP(TRIM(Table1[[#This Row],[Status2]]),Data_profiling!$A$9:$A$14,Data_profiling!$B$9:$B$14,"Checkmanually")</f>
        <v>Active</v>
      </c>
      <c r="K106" s="1" t="s">
        <v>0</v>
      </c>
    </row>
    <row r="107" spans="1:11" x14ac:dyDescent="0.35">
      <c r="A107" s="1" t="s">
        <v>156</v>
      </c>
      <c r="B107" s="1" t="s">
        <v>155</v>
      </c>
      <c r="C107" s="1" t="s">
        <v>126</v>
      </c>
      <c r="D107" s="1" t="s">
        <v>125</v>
      </c>
      <c r="E107" s="1" t="s">
        <v>60</v>
      </c>
      <c r="F107" s="2">
        <v>196.3</v>
      </c>
      <c r="G107" s="2">
        <v>227</v>
      </c>
      <c r="H107" s="1" t="s">
        <v>154</v>
      </c>
      <c r="I107" s="1" t="s">
        <v>15</v>
      </c>
      <c r="J107" s="1" t="str">
        <f>_xlfn.XLOOKUP(TRIM(Table1[[#This Row],[Status2]]),Data_profiling!$A$9:$A$14,Data_profiling!$B$9:$B$14,"Checkmanually")</f>
        <v>Active</v>
      </c>
      <c r="K107" s="1" t="s">
        <v>0</v>
      </c>
    </row>
    <row r="108" spans="1:11" x14ac:dyDescent="0.35">
      <c r="A108" s="1" t="s">
        <v>153</v>
      </c>
      <c r="B108" s="1" t="s">
        <v>152</v>
      </c>
      <c r="C108" s="1" t="s">
        <v>126</v>
      </c>
      <c r="D108" s="1" t="s">
        <v>139</v>
      </c>
      <c r="E108" s="1" t="s">
        <v>60</v>
      </c>
      <c r="F108" s="2">
        <v>348.41</v>
      </c>
      <c r="G108" s="2">
        <v>405.1</v>
      </c>
      <c r="H108" s="1" t="s">
        <v>112</v>
      </c>
      <c r="I108" s="1" t="s">
        <v>15</v>
      </c>
      <c r="J108" s="1" t="str">
        <f>_xlfn.XLOOKUP(TRIM(Table1[[#This Row],[Status2]]),Data_profiling!$A$9:$A$14,Data_profiling!$B$9:$B$14,"Checkmanually")</f>
        <v>Active</v>
      </c>
      <c r="K108" s="1" t="s">
        <v>0</v>
      </c>
    </row>
    <row r="109" spans="1:11" x14ac:dyDescent="0.35">
      <c r="A109" s="1" t="s">
        <v>151</v>
      </c>
      <c r="B109" s="1" t="s">
        <v>150</v>
      </c>
      <c r="C109" s="1" t="s">
        <v>126</v>
      </c>
      <c r="D109" s="1" t="s">
        <v>125</v>
      </c>
      <c r="E109" s="1" t="s">
        <v>149</v>
      </c>
      <c r="F109" s="2">
        <v>259.93</v>
      </c>
      <c r="G109" s="2">
        <v>306.62</v>
      </c>
      <c r="H109" s="1" t="s">
        <v>148</v>
      </c>
      <c r="I109" s="1" t="s">
        <v>1</v>
      </c>
      <c r="J109" s="1" t="str">
        <f>_xlfn.XLOOKUP(TRIM(Table1[[#This Row],[Status2]]),Data_profiling!$A$9:$A$14,Data_profiling!$B$9:$B$14,"Checkmanually")</f>
        <v>Active</v>
      </c>
      <c r="K109" s="1" t="s">
        <v>0</v>
      </c>
    </row>
    <row r="110" spans="1:11" x14ac:dyDescent="0.35">
      <c r="A110" s="1" t="s">
        <v>147</v>
      </c>
      <c r="B110" s="1" t="s">
        <v>146</v>
      </c>
      <c r="C110" s="1" t="s">
        <v>126</v>
      </c>
      <c r="D110" s="1" t="s">
        <v>129</v>
      </c>
      <c r="E110" s="1" t="s">
        <v>60</v>
      </c>
      <c r="F110" s="2">
        <v>137.94999999999999</v>
      </c>
      <c r="G110" s="2">
        <v>157.97999999999999</v>
      </c>
      <c r="H110" s="1" t="s">
        <v>8</v>
      </c>
      <c r="I110" s="1" t="s">
        <v>25</v>
      </c>
      <c r="J110" s="1" t="str">
        <f>_xlfn.XLOOKUP(TRIM(Table1[[#This Row],[Status2]]),Data_profiling!$A$9:$A$14,Data_profiling!$B$9:$B$14,"Checkmanually")</f>
        <v>Active</v>
      </c>
      <c r="K110" s="1" t="s">
        <v>0</v>
      </c>
    </row>
    <row r="111" spans="1:11" x14ac:dyDescent="0.35">
      <c r="A111" s="1" t="s">
        <v>145</v>
      </c>
      <c r="B111" s="1" t="s">
        <v>144</v>
      </c>
      <c r="C111" s="1" t="s">
        <v>126</v>
      </c>
      <c r="D111" s="1" t="s">
        <v>129</v>
      </c>
      <c r="E111" s="1" t="s">
        <v>143</v>
      </c>
      <c r="F111" s="2">
        <v>253.7</v>
      </c>
      <c r="G111" s="2">
        <v>291.93</v>
      </c>
      <c r="H111" s="1" t="s">
        <v>142</v>
      </c>
      <c r="I111" s="1" t="s">
        <v>20</v>
      </c>
      <c r="J111" s="1" t="str">
        <f>_xlfn.XLOOKUP(TRIM(Table1[[#This Row],[Status2]]),Data_profiling!$A$9:$A$14,Data_profiling!$B$9:$B$14,"Checkmanually")</f>
        <v>Active</v>
      </c>
      <c r="K111" s="1" t="s">
        <v>0</v>
      </c>
    </row>
    <row r="112" spans="1:11" x14ac:dyDescent="0.35">
      <c r="A112" s="1" t="s">
        <v>141</v>
      </c>
      <c r="B112" s="1" t="s">
        <v>140</v>
      </c>
      <c r="C112" s="1" t="s">
        <v>126</v>
      </c>
      <c r="D112" s="1" t="s">
        <v>139</v>
      </c>
      <c r="E112" s="1" t="s">
        <v>60</v>
      </c>
      <c r="F112" s="2">
        <v>190.9</v>
      </c>
      <c r="G112" s="2">
        <v>225.45</v>
      </c>
      <c r="H112" s="1" t="s">
        <v>33</v>
      </c>
      <c r="I112" s="1" t="s">
        <v>45</v>
      </c>
      <c r="J112" s="1" t="str">
        <f>_xlfn.XLOOKUP(TRIM(Table1[[#This Row],[Status2]]),Data_profiling!$A$9:$A$14,Data_profiling!$B$9:$B$14,"Checkmanually")</f>
        <v>Active</v>
      </c>
      <c r="K112" s="1" t="s">
        <v>0</v>
      </c>
    </row>
    <row r="113" spans="1:11" x14ac:dyDescent="0.35">
      <c r="A113" s="1" t="s">
        <v>138</v>
      </c>
      <c r="B113" s="1" t="s">
        <v>137</v>
      </c>
      <c r="C113" s="1" t="s">
        <v>126</v>
      </c>
      <c r="D113" s="1" t="s">
        <v>129</v>
      </c>
      <c r="E113" s="5"/>
      <c r="F113" s="2">
        <v>210.52</v>
      </c>
      <c r="G113" s="2">
        <v>251.73</v>
      </c>
      <c r="H113" s="1" t="s">
        <v>12</v>
      </c>
      <c r="I113" s="1" t="s">
        <v>1</v>
      </c>
      <c r="J113" s="1" t="str">
        <f>_xlfn.XLOOKUP(TRIM(Table1[[#This Row],[Status2]]),Data_profiling!$A$9:$A$14,Data_profiling!$B$9:$B$14,"Checkmanually")</f>
        <v>Active</v>
      </c>
      <c r="K113" s="1" t="s">
        <v>0</v>
      </c>
    </row>
    <row r="114" spans="1:11" x14ac:dyDescent="0.35">
      <c r="A114" s="1" t="s">
        <v>136</v>
      </c>
      <c r="B114" s="1" t="s">
        <v>135</v>
      </c>
      <c r="C114" s="1" t="s">
        <v>126</v>
      </c>
      <c r="D114" s="1" t="s">
        <v>129</v>
      </c>
      <c r="E114" s="1" t="s">
        <v>60</v>
      </c>
      <c r="F114" s="2">
        <v>211.73</v>
      </c>
      <c r="G114" s="2">
        <v>236.56</v>
      </c>
      <c r="H114" s="1" t="s">
        <v>134</v>
      </c>
      <c r="I114" s="1" t="s">
        <v>15</v>
      </c>
      <c r="J114" s="1" t="str">
        <f>_xlfn.XLOOKUP(TRIM(Table1[[#This Row],[Status2]]),Data_profiling!$A$9:$A$14,Data_profiling!$B$9:$B$14,"Checkmanually")</f>
        <v>Active</v>
      </c>
      <c r="K114" s="1" t="s">
        <v>0</v>
      </c>
    </row>
    <row r="115" spans="1:11" x14ac:dyDescent="0.35">
      <c r="A115" s="1" t="s">
        <v>133</v>
      </c>
      <c r="B115" s="1" t="s">
        <v>132</v>
      </c>
      <c r="C115" s="1" t="s">
        <v>126</v>
      </c>
      <c r="D115" s="1" t="s">
        <v>129</v>
      </c>
      <c r="E115" s="1" t="s">
        <v>60</v>
      </c>
      <c r="F115" s="2">
        <v>158.28</v>
      </c>
      <c r="G115" s="2">
        <v>188.64</v>
      </c>
      <c r="H115" s="1" t="s">
        <v>55</v>
      </c>
      <c r="I115" s="1" t="s">
        <v>15</v>
      </c>
      <c r="J115" s="1" t="str">
        <f>_xlfn.XLOOKUP(TRIM(Table1[[#This Row],[Status2]]),Data_profiling!$A$9:$A$14,Data_profiling!$B$9:$B$14,"Checkmanually")</f>
        <v>Active</v>
      </c>
      <c r="K115" s="1" t="s">
        <v>0</v>
      </c>
    </row>
    <row r="116" spans="1:11" x14ac:dyDescent="0.35">
      <c r="A116" s="1" t="s">
        <v>131</v>
      </c>
      <c r="B116" s="1" t="s">
        <v>130</v>
      </c>
      <c r="C116" s="1" t="s">
        <v>126</v>
      </c>
      <c r="D116" s="1" t="s">
        <v>129</v>
      </c>
      <c r="E116" s="1" t="s">
        <v>60</v>
      </c>
      <c r="F116" s="2">
        <v>319.91000000000003</v>
      </c>
      <c r="G116" s="2">
        <v>372.61</v>
      </c>
      <c r="H116" s="1" t="s">
        <v>42</v>
      </c>
      <c r="I116" s="1" t="s">
        <v>25</v>
      </c>
      <c r="J116" s="1" t="str">
        <f>_xlfn.XLOOKUP(TRIM(Table1[[#This Row],[Status2]]),Data_profiling!$A$9:$A$14,Data_profiling!$B$9:$B$14,"Checkmanually")</f>
        <v>Active</v>
      </c>
      <c r="K116" s="1" t="s">
        <v>0</v>
      </c>
    </row>
    <row r="117" spans="1:11" x14ac:dyDescent="0.35">
      <c r="A117" s="1" t="s">
        <v>128</v>
      </c>
      <c r="B117" s="1" t="s">
        <v>127</v>
      </c>
      <c r="C117" s="1" t="s">
        <v>126</v>
      </c>
      <c r="D117" s="1" t="s">
        <v>125</v>
      </c>
      <c r="E117" s="1" t="s">
        <v>60</v>
      </c>
      <c r="F117" s="2">
        <v>127.98</v>
      </c>
      <c r="G117" s="2">
        <v>150.04</v>
      </c>
      <c r="H117" s="1" t="s">
        <v>49</v>
      </c>
      <c r="I117" s="1" t="s">
        <v>20</v>
      </c>
      <c r="J117" s="1" t="str">
        <f>_xlfn.XLOOKUP(TRIM(Table1[[#This Row],[Status2]]),Data_profiling!$A$9:$A$14,Data_profiling!$B$9:$B$14,"Checkmanually")</f>
        <v>Active</v>
      </c>
      <c r="K117" s="1" t="s">
        <v>0</v>
      </c>
    </row>
    <row r="118" spans="1:11" x14ac:dyDescent="0.35">
      <c r="A118" s="1" t="s">
        <v>124</v>
      </c>
      <c r="B118" s="1" t="s">
        <v>123</v>
      </c>
      <c r="C118" s="1" t="s">
        <v>92</v>
      </c>
      <c r="D118" s="1" t="s">
        <v>113</v>
      </c>
      <c r="E118" s="1" t="s">
        <v>90</v>
      </c>
      <c r="F118" s="2">
        <v>241.44</v>
      </c>
      <c r="G118" s="2">
        <v>268.32</v>
      </c>
      <c r="H118" s="1" t="s">
        <v>122</v>
      </c>
      <c r="I118" s="1" t="s">
        <v>25</v>
      </c>
      <c r="J118" s="1" t="str">
        <f>_xlfn.XLOOKUP(TRIM(Table1[[#This Row],[Status2]]),Data_profiling!$A$9:$A$14,Data_profiling!$B$9:$B$14,"Checkmanually")</f>
        <v>Active</v>
      </c>
      <c r="K118" s="1" t="s">
        <v>0</v>
      </c>
    </row>
    <row r="119" spans="1:11" x14ac:dyDescent="0.35">
      <c r="A119" s="1" t="s">
        <v>121</v>
      </c>
      <c r="B119" s="1" t="s">
        <v>120</v>
      </c>
      <c r="C119" s="1" t="s">
        <v>92</v>
      </c>
      <c r="D119" s="1" t="s">
        <v>91</v>
      </c>
      <c r="E119" s="1" t="s">
        <v>95</v>
      </c>
      <c r="F119" s="2">
        <v>137.63999999999999</v>
      </c>
      <c r="G119" s="2">
        <v>155.55000000000001</v>
      </c>
      <c r="H119" s="1" t="s">
        <v>119</v>
      </c>
      <c r="I119" s="1" t="s">
        <v>45</v>
      </c>
      <c r="J119" s="1" t="str">
        <f>_xlfn.XLOOKUP(TRIM(Table1[[#This Row],[Status2]]),Data_profiling!$A$9:$A$14,Data_profiling!$B$9:$B$14,"Checkmanually")</f>
        <v>Active</v>
      </c>
      <c r="K119" s="1" t="s">
        <v>0</v>
      </c>
    </row>
    <row r="120" spans="1:11" x14ac:dyDescent="0.35">
      <c r="A120" s="1" t="s">
        <v>118</v>
      </c>
      <c r="B120" s="1" t="s">
        <v>117</v>
      </c>
      <c r="C120" s="1" t="s">
        <v>92</v>
      </c>
      <c r="D120" s="1" t="s">
        <v>116</v>
      </c>
      <c r="E120" s="1" t="s">
        <v>99</v>
      </c>
      <c r="F120" s="2">
        <v>213.23</v>
      </c>
      <c r="G120" s="2">
        <v>234.86</v>
      </c>
      <c r="H120" s="1" t="s">
        <v>16</v>
      </c>
      <c r="I120" s="5"/>
      <c r="J120" s="5" t="str">
        <f>_xlfn.XLOOKUP(TRIM(Table1[[#This Row],[Status2]]),Data_profiling!$A$9:$A$14,Data_profiling!$B$9:$B$14,"Checkmanually")</f>
        <v>Active</v>
      </c>
      <c r="K120" s="1" t="s">
        <v>0</v>
      </c>
    </row>
    <row r="121" spans="1:11" x14ac:dyDescent="0.35">
      <c r="A121" s="1" t="s">
        <v>115</v>
      </c>
      <c r="B121" s="1" t="s">
        <v>114</v>
      </c>
      <c r="C121" s="1" t="s">
        <v>92</v>
      </c>
      <c r="D121" s="1" t="s">
        <v>113</v>
      </c>
      <c r="E121" s="1" t="s">
        <v>90</v>
      </c>
      <c r="F121" s="2">
        <v>92.96</v>
      </c>
      <c r="G121" s="2">
        <v>109.69</v>
      </c>
      <c r="H121" s="1" t="s">
        <v>112</v>
      </c>
      <c r="I121" s="1" t="s">
        <v>1</v>
      </c>
      <c r="J121" s="1" t="str">
        <f>_xlfn.XLOOKUP(TRIM(Table1[[#This Row],[Status2]]),Data_profiling!$A$9:$A$14,Data_profiling!$B$9:$B$14,"Checkmanually")</f>
        <v>Active</v>
      </c>
      <c r="K121" s="1" t="s">
        <v>0</v>
      </c>
    </row>
    <row r="122" spans="1:11" x14ac:dyDescent="0.35">
      <c r="A122" s="1" t="s">
        <v>111</v>
      </c>
      <c r="B122" s="1" t="s">
        <v>110</v>
      </c>
      <c r="C122" s="1" t="s">
        <v>92</v>
      </c>
      <c r="D122" s="1" t="s">
        <v>100</v>
      </c>
      <c r="E122" s="1" t="s">
        <v>95</v>
      </c>
      <c r="F122" s="2">
        <v>271.52999999999997</v>
      </c>
      <c r="G122" s="2">
        <v>223.15</v>
      </c>
      <c r="H122" s="1" t="s">
        <v>107</v>
      </c>
      <c r="I122" s="1" t="s">
        <v>45</v>
      </c>
      <c r="J122" s="1" t="str">
        <f>_xlfn.XLOOKUP(TRIM(Table1[[#This Row],[Status2]]),Data_profiling!$A$9:$A$14,Data_profiling!$B$9:$B$14,"Checkmanually")</f>
        <v>Active</v>
      </c>
      <c r="K122" s="1" t="s">
        <v>0</v>
      </c>
    </row>
    <row r="123" spans="1:11" x14ac:dyDescent="0.35">
      <c r="A123" s="1" t="s">
        <v>109</v>
      </c>
      <c r="B123" s="1" t="s">
        <v>108</v>
      </c>
      <c r="C123" s="1" t="s">
        <v>92</v>
      </c>
      <c r="D123" s="1" t="s">
        <v>91</v>
      </c>
      <c r="E123" s="1" t="s">
        <v>95</v>
      </c>
      <c r="F123" s="2">
        <v>88.72</v>
      </c>
      <c r="G123" s="2">
        <v>102.51</v>
      </c>
      <c r="H123" s="1" t="s">
        <v>107</v>
      </c>
      <c r="I123" s="1" t="s">
        <v>45</v>
      </c>
      <c r="J123" s="1" t="str">
        <f>_xlfn.XLOOKUP(TRIM(Table1[[#This Row],[Status2]]),Data_profiling!$A$9:$A$14,Data_profiling!$B$9:$B$14,"Checkmanually")</f>
        <v>Active</v>
      </c>
      <c r="K123" s="1" t="s">
        <v>0</v>
      </c>
    </row>
    <row r="124" spans="1:11" x14ac:dyDescent="0.35">
      <c r="A124" s="1" t="s">
        <v>106</v>
      </c>
      <c r="B124" s="1" t="s">
        <v>105</v>
      </c>
      <c r="C124" s="1" t="s">
        <v>92</v>
      </c>
      <c r="D124" s="1" t="s">
        <v>91</v>
      </c>
      <c r="E124" s="1" t="s">
        <v>95</v>
      </c>
      <c r="F124" s="2">
        <v>158.43</v>
      </c>
      <c r="G124" s="2">
        <v>183.39</v>
      </c>
      <c r="H124" s="1" t="s">
        <v>30</v>
      </c>
      <c r="I124" s="5"/>
      <c r="J124" s="5" t="str">
        <f>_xlfn.XLOOKUP(TRIM(Table1[[#This Row],[Status2]]),Data_profiling!$A$9:$A$14,Data_profiling!$B$9:$B$14,"Checkmanually")</f>
        <v>Active</v>
      </c>
      <c r="K124" s="1" t="s">
        <v>0</v>
      </c>
    </row>
    <row r="125" spans="1:11" x14ac:dyDescent="0.35">
      <c r="A125" s="1" t="s">
        <v>104</v>
      </c>
      <c r="B125" s="1" t="s">
        <v>103</v>
      </c>
      <c r="C125" s="1" t="s">
        <v>92</v>
      </c>
      <c r="D125" s="1" t="s">
        <v>100</v>
      </c>
      <c r="E125" s="1" t="s">
        <v>99</v>
      </c>
      <c r="F125" s="2">
        <v>108.92</v>
      </c>
      <c r="G125" s="2">
        <v>121.9</v>
      </c>
      <c r="H125" s="1" t="s">
        <v>76</v>
      </c>
      <c r="I125" s="1" t="s">
        <v>45</v>
      </c>
      <c r="J125" s="1" t="str">
        <f>_xlfn.XLOOKUP(TRIM(Table1[[#This Row],[Status2]]),Data_profiling!$A$9:$A$14,Data_profiling!$B$9:$B$14,"Checkmanually")</f>
        <v>Active</v>
      </c>
      <c r="K125" s="1" t="s">
        <v>0</v>
      </c>
    </row>
    <row r="126" spans="1:11" x14ac:dyDescent="0.35">
      <c r="A126" s="1" t="s">
        <v>102</v>
      </c>
      <c r="B126" s="1" t="s">
        <v>101</v>
      </c>
      <c r="C126" s="1" t="s">
        <v>92</v>
      </c>
      <c r="D126" s="1" t="s">
        <v>100</v>
      </c>
      <c r="E126" s="1" t="s">
        <v>99</v>
      </c>
      <c r="F126" s="2">
        <v>195.44</v>
      </c>
      <c r="G126" s="2">
        <v>219.39</v>
      </c>
      <c r="H126" s="1" t="s">
        <v>98</v>
      </c>
      <c r="I126" s="1" t="s">
        <v>20</v>
      </c>
      <c r="J126" s="1" t="str">
        <f>_xlfn.XLOOKUP(TRIM(Table1[[#This Row],[Status2]]),Data_profiling!$A$9:$A$14,Data_profiling!$B$9:$B$14,"Checkmanually")</f>
        <v>Active</v>
      </c>
      <c r="K126" s="1" t="s">
        <v>0</v>
      </c>
    </row>
    <row r="127" spans="1:11" x14ac:dyDescent="0.35">
      <c r="A127" s="1" t="s">
        <v>97</v>
      </c>
      <c r="B127" s="1" t="s">
        <v>96</v>
      </c>
      <c r="C127" s="1" t="s">
        <v>92</v>
      </c>
      <c r="D127" s="1" t="s">
        <v>91</v>
      </c>
      <c r="E127" s="1" t="s">
        <v>95</v>
      </c>
      <c r="F127" s="2">
        <v>324.48</v>
      </c>
      <c r="G127" s="2">
        <v>360.52</v>
      </c>
      <c r="H127" s="1" t="s">
        <v>36</v>
      </c>
      <c r="I127" s="1" t="s">
        <v>1</v>
      </c>
      <c r="J127" s="1" t="str">
        <f>_xlfn.XLOOKUP(TRIM(Table1[[#This Row],[Status2]]),Data_profiling!$A$9:$A$14,Data_profiling!$B$9:$B$14,"Checkmanually")</f>
        <v>Active</v>
      </c>
      <c r="K127" s="1" t="s">
        <v>0</v>
      </c>
    </row>
    <row r="128" spans="1:11" x14ac:dyDescent="0.35">
      <c r="A128" s="1" t="s">
        <v>94</v>
      </c>
      <c r="B128" s="1" t="s">
        <v>93</v>
      </c>
      <c r="C128" s="1" t="s">
        <v>92</v>
      </c>
      <c r="D128" s="1" t="s">
        <v>91</v>
      </c>
      <c r="E128" s="1" t="s">
        <v>90</v>
      </c>
      <c r="F128" s="2">
        <v>290.33</v>
      </c>
      <c r="G128" s="2">
        <v>331.35</v>
      </c>
      <c r="H128" s="1" t="s">
        <v>89</v>
      </c>
      <c r="I128" s="1" t="s">
        <v>25</v>
      </c>
      <c r="J128" s="1" t="str">
        <f>_xlfn.XLOOKUP(TRIM(Table1[[#This Row],[Status2]]),Data_profiling!$A$9:$A$14,Data_profiling!$B$9:$B$14,"Checkmanually")</f>
        <v>Active</v>
      </c>
      <c r="K128" s="1" t="s">
        <v>0</v>
      </c>
    </row>
    <row r="129" spans="1:11" x14ac:dyDescent="0.35">
      <c r="A129" s="1" t="s">
        <v>88</v>
      </c>
      <c r="B129" s="1" t="s">
        <v>87</v>
      </c>
      <c r="C129" s="1" t="s">
        <v>52</v>
      </c>
      <c r="D129" s="1" t="s">
        <v>56</v>
      </c>
      <c r="E129" s="1" t="s">
        <v>60</v>
      </c>
      <c r="F129" s="2">
        <v>190.74</v>
      </c>
      <c r="G129" s="2">
        <v>253.11</v>
      </c>
      <c r="H129" s="1" t="s">
        <v>86</v>
      </c>
      <c r="I129" s="1" t="s">
        <v>1</v>
      </c>
      <c r="J129" s="1" t="str">
        <f>_xlfn.XLOOKUP(TRIM(Table1[[#This Row],[Status2]]),Data_profiling!$A$9:$A$14,Data_profiling!$B$9:$B$14,"Checkmanually")</f>
        <v>Active</v>
      </c>
      <c r="K129" s="1" t="s">
        <v>0</v>
      </c>
    </row>
    <row r="130" spans="1:11" x14ac:dyDescent="0.35">
      <c r="A130" s="1" t="s">
        <v>85</v>
      </c>
      <c r="B130" s="1" t="s">
        <v>84</v>
      </c>
      <c r="C130" s="1" t="s">
        <v>52</v>
      </c>
      <c r="D130" s="1" t="s">
        <v>56</v>
      </c>
      <c r="E130" s="1" t="s">
        <v>72</v>
      </c>
      <c r="F130" s="2">
        <v>373.58</v>
      </c>
      <c r="G130" s="2">
        <v>490.22</v>
      </c>
      <c r="H130" s="1" t="s">
        <v>83</v>
      </c>
      <c r="I130" s="1" t="s">
        <v>20</v>
      </c>
      <c r="J130" s="1" t="str">
        <f>_xlfn.XLOOKUP(TRIM(Table1[[#This Row],[Status2]]),Data_profiling!$A$9:$A$14,Data_profiling!$B$9:$B$14,"Checkmanually")</f>
        <v>Active</v>
      </c>
      <c r="K130" s="1" t="s">
        <v>0</v>
      </c>
    </row>
    <row r="131" spans="1:11" x14ac:dyDescent="0.35">
      <c r="A131" s="1" t="s">
        <v>82</v>
      </c>
      <c r="B131" s="1" t="s">
        <v>81</v>
      </c>
      <c r="C131" s="1" t="s">
        <v>52</v>
      </c>
      <c r="D131" s="1" t="s">
        <v>51</v>
      </c>
      <c r="E131" s="1" t="s">
        <v>60</v>
      </c>
      <c r="F131" s="2">
        <v>397.92</v>
      </c>
      <c r="G131" s="2">
        <v>519.78</v>
      </c>
      <c r="H131" s="1" t="s">
        <v>80</v>
      </c>
      <c r="I131" s="1" t="s">
        <v>25</v>
      </c>
      <c r="J131" s="1" t="str">
        <f>_xlfn.XLOOKUP(TRIM(Table1[[#This Row],[Status2]]),Data_profiling!$A$9:$A$14,Data_profiling!$B$9:$B$14,"Checkmanually")</f>
        <v>Active</v>
      </c>
      <c r="K131" s="1" t="s">
        <v>0</v>
      </c>
    </row>
    <row r="132" spans="1:11" x14ac:dyDescent="0.35">
      <c r="A132" s="1" t="s">
        <v>79</v>
      </c>
      <c r="B132" s="1" t="s">
        <v>78</v>
      </c>
      <c r="C132" s="1" t="s">
        <v>52</v>
      </c>
      <c r="D132" s="1" t="s">
        <v>56</v>
      </c>
      <c r="E132" s="1" t="s">
        <v>77</v>
      </c>
      <c r="F132" s="2">
        <v>72.290000000000006</v>
      </c>
      <c r="G132" s="2">
        <v>93.47</v>
      </c>
      <c r="H132" s="1" t="s">
        <v>76</v>
      </c>
      <c r="I132" s="1" t="s">
        <v>45</v>
      </c>
      <c r="J132" s="1" t="str">
        <f>_xlfn.XLOOKUP(TRIM(Table1[[#This Row],[Status2]]),Data_profiling!$A$9:$A$14,Data_profiling!$B$9:$B$14,"Checkmanually")</f>
        <v>Active</v>
      </c>
      <c r="K132" s="1" t="s">
        <v>0</v>
      </c>
    </row>
    <row r="133" spans="1:11" x14ac:dyDescent="0.35">
      <c r="A133" s="1" t="s">
        <v>75</v>
      </c>
      <c r="B133" s="1" t="s">
        <v>74</v>
      </c>
      <c r="C133" s="1" t="s">
        <v>52</v>
      </c>
      <c r="D133" s="1" t="s">
        <v>73</v>
      </c>
      <c r="E133" s="1" t="s">
        <v>72</v>
      </c>
      <c r="F133" s="2">
        <v>253.83</v>
      </c>
      <c r="G133" s="2">
        <v>351.78</v>
      </c>
      <c r="H133" s="1" t="s">
        <v>71</v>
      </c>
      <c r="I133" s="1" t="s">
        <v>25</v>
      </c>
      <c r="J133" s="1" t="str">
        <f>_xlfn.XLOOKUP(TRIM(Table1[[#This Row],[Status2]]),Data_profiling!$A$9:$A$14,Data_profiling!$B$9:$B$14,"Checkmanually")</f>
        <v>Active</v>
      </c>
      <c r="K133" s="1" t="s">
        <v>0</v>
      </c>
    </row>
    <row r="134" spans="1:11" x14ac:dyDescent="0.35">
      <c r="A134" s="1" t="s">
        <v>70</v>
      </c>
      <c r="B134" s="1" t="s">
        <v>69</v>
      </c>
      <c r="C134" s="1" t="s">
        <v>52</v>
      </c>
      <c r="D134" s="1" t="s">
        <v>56</v>
      </c>
      <c r="E134" s="1" t="s">
        <v>60</v>
      </c>
      <c r="F134" s="2">
        <v>62.25</v>
      </c>
      <c r="G134" s="2">
        <v>80.5</v>
      </c>
      <c r="H134" s="1" t="s">
        <v>68</v>
      </c>
      <c r="I134" s="1" t="s">
        <v>1</v>
      </c>
      <c r="J134" s="1" t="str">
        <f>_xlfn.XLOOKUP(TRIM(Table1[[#This Row],[Status2]]),Data_profiling!$A$9:$A$14,Data_profiling!$B$9:$B$14,"Checkmanually")</f>
        <v>Active</v>
      </c>
      <c r="K134" s="1" t="s">
        <v>0</v>
      </c>
    </row>
    <row r="135" spans="1:11" x14ac:dyDescent="0.35">
      <c r="A135" s="1" t="s">
        <v>67</v>
      </c>
      <c r="B135" s="1" t="s">
        <v>66</v>
      </c>
      <c r="C135" s="1" t="s">
        <v>52</v>
      </c>
      <c r="D135" s="1" t="s">
        <v>56</v>
      </c>
      <c r="E135" s="1" t="s">
        <v>60</v>
      </c>
      <c r="F135" s="2">
        <v>262.8</v>
      </c>
      <c r="G135" s="2">
        <v>353.05</v>
      </c>
      <c r="H135" s="1" t="s">
        <v>42</v>
      </c>
      <c r="I135" s="1" t="s">
        <v>1</v>
      </c>
      <c r="J135" s="1" t="str">
        <f>_xlfn.XLOOKUP(TRIM(Table1[[#This Row],[Status2]]),Data_profiling!$A$9:$A$14,Data_profiling!$B$9:$B$14,"Checkmanually")</f>
        <v>Active</v>
      </c>
      <c r="K135" s="1" t="s">
        <v>0</v>
      </c>
    </row>
    <row r="136" spans="1:11" x14ac:dyDescent="0.35">
      <c r="A136" s="1" t="s">
        <v>65</v>
      </c>
      <c r="B136" s="1" t="s">
        <v>64</v>
      </c>
      <c r="C136" s="1" t="s">
        <v>52</v>
      </c>
      <c r="D136" s="1" t="s">
        <v>51</v>
      </c>
      <c r="E136" s="1" t="s">
        <v>50</v>
      </c>
      <c r="F136" s="2">
        <v>293.05</v>
      </c>
      <c r="G136" s="2">
        <v>379.12</v>
      </c>
      <c r="H136" s="1" t="s">
        <v>63</v>
      </c>
      <c r="I136" s="1" t="s">
        <v>20</v>
      </c>
      <c r="J136" s="1" t="str">
        <f>_xlfn.XLOOKUP(TRIM(Table1[[#This Row],[Status2]]),Data_profiling!$A$9:$A$14,Data_profiling!$B$9:$B$14,"Checkmanually")</f>
        <v>Active</v>
      </c>
      <c r="K136" s="1" t="s">
        <v>0</v>
      </c>
    </row>
    <row r="137" spans="1:11" x14ac:dyDescent="0.35">
      <c r="A137" s="1" t="s">
        <v>62</v>
      </c>
      <c r="B137" s="1" t="s">
        <v>61</v>
      </c>
      <c r="C137" s="1" t="s">
        <v>52</v>
      </c>
      <c r="D137" s="1" t="s">
        <v>51</v>
      </c>
      <c r="E137" s="1" t="s">
        <v>60</v>
      </c>
      <c r="F137" s="2">
        <v>91.18</v>
      </c>
      <c r="G137" s="2">
        <v>123.11</v>
      </c>
      <c r="H137" s="1" t="s">
        <v>59</v>
      </c>
      <c r="I137" s="1" t="s">
        <v>25</v>
      </c>
      <c r="J137" s="1" t="str">
        <f>_xlfn.XLOOKUP(TRIM(Table1[[#This Row],[Status2]]),Data_profiling!$A$9:$A$14,Data_profiling!$B$9:$B$14,"Checkmanually")</f>
        <v>Active</v>
      </c>
      <c r="K137" s="1" t="s">
        <v>0</v>
      </c>
    </row>
    <row r="138" spans="1:11" x14ac:dyDescent="0.35">
      <c r="A138" s="1" t="s">
        <v>58</v>
      </c>
      <c r="B138" s="1" t="s">
        <v>57</v>
      </c>
      <c r="C138" s="1" t="s">
        <v>52</v>
      </c>
      <c r="D138" s="1" t="s">
        <v>56</v>
      </c>
      <c r="E138" s="1" t="s">
        <v>50</v>
      </c>
      <c r="F138" s="2">
        <v>351.87</v>
      </c>
      <c r="G138" s="2">
        <v>442.14</v>
      </c>
      <c r="H138" s="1" t="s">
        <v>55</v>
      </c>
      <c r="I138" s="1" t="s">
        <v>25</v>
      </c>
      <c r="J138" s="1" t="str">
        <f>_xlfn.XLOOKUP(TRIM(Table1[[#This Row],[Status2]]),Data_profiling!$A$9:$A$14,Data_profiling!$B$9:$B$14,"Checkmanually")</f>
        <v>Active</v>
      </c>
      <c r="K138" s="1" t="s">
        <v>0</v>
      </c>
    </row>
    <row r="139" spans="1:11" x14ac:dyDescent="0.35">
      <c r="A139" s="1" t="s">
        <v>54</v>
      </c>
      <c r="B139" s="1" t="s">
        <v>53</v>
      </c>
      <c r="C139" s="1" t="s">
        <v>52</v>
      </c>
      <c r="D139" s="1" t="s">
        <v>51</v>
      </c>
      <c r="E139" s="1" t="s">
        <v>50</v>
      </c>
      <c r="F139" s="2">
        <v>319.64</v>
      </c>
      <c r="G139" s="2">
        <v>416.08</v>
      </c>
      <c r="H139" s="1" t="s">
        <v>49</v>
      </c>
      <c r="I139" s="1" t="s">
        <v>1</v>
      </c>
      <c r="J139" s="1" t="str">
        <f>_xlfn.XLOOKUP(TRIM(Table1[[#This Row],[Status2]]),Data_profiling!$A$9:$A$14,Data_profiling!$B$9:$B$14,"Checkmanually")</f>
        <v>Active</v>
      </c>
      <c r="K139" s="1" t="s">
        <v>0</v>
      </c>
    </row>
    <row r="140" spans="1:11" x14ac:dyDescent="0.35">
      <c r="A140" s="1" t="s">
        <v>48</v>
      </c>
      <c r="B140" s="1" t="s">
        <v>47</v>
      </c>
      <c r="C140" s="1" t="s">
        <v>5</v>
      </c>
      <c r="D140" s="1" t="s">
        <v>4</v>
      </c>
      <c r="E140" s="1" t="s">
        <v>3</v>
      </c>
      <c r="F140" s="2">
        <v>70.7</v>
      </c>
      <c r="G140" s="2">
        <v>91.61</v>
      </c>
      <c r="H140" s="1" t="s">
        <v>46</v>
      </c>
      <c r="I140" s="1" t="s">
        <v>45</v>
      </c>
      <c r="J140" s="1" t="str">
        <f>_xlfn.XLOOKUP(TRIM(Table1[[#This Row],[Status2]]),Data_profiling!$A$9:$A$14,Data_profiling!$B$9:$B$14,"Checkmanually")</f>
        <v>Active</v>
      </c>
      <c r="K140" s="1" t="s">
        <v>0</v>
      </c>
    </row>
    <row r="141" spans="1:11" x14ac:dyDescent="0.35">
      <c r="A141" s="1" t="s">
        <v>44</v>
      </c>
      <c r="B141" s="1" t="s">
        <v>43</v>
      </c>
      <c r="C141" s="1" t="s">
        <v>5</v>
      </c>
      <c r="D141" s="1" t="s">
        <v>4</v>
      </c>
      <c r="E141" s="1" t="s">
        <v>9</v>
      </c>
      <c r="F141" s="2">
        <v>260.06</v>
      </c>
      <c r="G141" s="2">
        <v>352.51</v>
      </c>
      <c r="H141" s="1" t="s">
        <v>42</v>
      </c>
      <c r="I141" s="1" t="s">
        <v>15</v>
      </c>
      <c r="J141" s="1" t="str">
        <f>_xlfn.XLOOKUP(TRIM(Table1[[#This Row],[Status2]]),Data_profiling!$A$9:$A$14,Data_profiling!$B$9:$B$14,"Checkmanually")</f>
        <v>Active</v>
      </c>
      <c r="K141" s="1" t="s">
        <v>0</v>
      </c>
    </row>
    <row r="142" spans="1:11" x14ac:dyDescent="0.35">
      <c r="A142" s="1" t="s">
        <v>41</v>
      </c>
      <c r="B142" s="1" t="s">
        <v>40</v>
      </c>
      <c r="C142" s="1" t="s">
        <v>5</v>
      </c>
      <c r="D142" s="1" t="s">
        <v>22</v>
      </c>
      <c r="E142" s="1" t="s">
        <v>9</v>
      </c>
      <c r="F142" s="2">
        <v>36.65</v>
      </c>
      <c r="G142" s="2">
        <v>46.76</v>
      </c>
      <c r="H142" s="1" t="s">
        <v>39</v>
      </c>
      <c r="I142" s="1" t="s">
        <v>25</v>
      </c>
      <c r="J142" s="1" t="str">
        <f>_xlfn.XLOOKUP(TRIM(Table1[[#This Row],[Status2]]),Data_profiling!$A$9:$A$14,Data_profiling!$B$9:$B$14,"Checkmanually")</f>
        <v>Active</v>
      </c>
      <c r="K142" s="1" t="s">
        <v>0</v>
      </c>
    </row>
    <row r="143" spans="1:11" x14ac:dyDescent="0.35">
      <c r="A143" s="1" t="s">
        <v>38</v>
      </c>
      <c r="B143" s="1" t="s">
        <v>37</v>
      </c>
      <c r="C143" s="1" t="s">
        <v>5</v>
      </c>
      <c r="D143" s="1" t="s">
        <v>17</v>
      </c>
      <c r="E143" s="1" t="s">
        <v>3</v>
      </c>
      <c r="F143" s="2">
        <v>395.87</v>
      </c>
      <c r="G143" s="2">
        <v>522.78</v>
      </c>
      <c r="H143" s="1" t="s">
        <v>36</v>
      </c>
      <c r="I143" s="1" t="s">
        <v>1</v>
      </c>
      <c r="J143" s="1" t="str">
        <f>_xlfn.XLOOKUP(TRIM(Table1[[#This Row],[Status2]]),Data_profiling!$A$9:$A$14,Data_profiling!$B$9:$B$14,"Checkmanually")</f>
        <v>Active</v>
      </c>
      <c r="K143" s="1" t="s">
        <v>0</v>
      </c>
    </row>
    <row r="144" spans="1:11" x14ac:dyDescent="0.35">
      <c r="A144" s="1" t="s">
        <v>35</v>
      </c>
      <c r="B144" s="1" t="s">
        <v>34</v>
      </c>
      <c r="C144" s="1" t="s">
        <v>5</v>
      </c>
      <c r="D144" s="1" t="s">
        <v>4</v>
      </c>
      <c r="E144" s="1" t="s">
        <v>27</v>
      </c>
      <c r="F144" s="2">
        <v>155.65</v>
      </c>
      <c r="G144" s="2">
        <v>210.36</v>
      </c>
      <c r="H144" s="1" t="s">
        <v>33</v>
      </c>
      <c r="I144" s="5"/>
      <c r="J144" s="5" t="str">
        <f>_xlfn.XLOOKUP(TRIM(Table1[[#This Row],[Status2]]),Data_profiling!$A$9:$A$14,Data_profiling!$B$9:$B$14,"Checkmanually")</f>
        <v>Active</v>
      </c>
      <c r="K144" s="1" t="s">
        <v>0</v>
      </c>
    </row>
    <row r="145" spans="1:11" x14ac:dyDescent="0.35">
      <c r="A145" s="1" t="s">
        <v>32</v>
      </c>
      <c r="B145" s="1" t="s">
        <v>31</v>
      </c>
      <c r="C145" s="1" t="s">
        <v>5</v>
      </c>
      <c r="D145" s="1" t="s">
        <v>17</v>
      </c>
      <c r="E145" s="1" t="s">
        <v>27</v>
      </c>
      <c r="F145" s="2">
        <v>186.04</v>
      </c>
      <c r="G145" s="2">
        <v>242.22</v>
      </c>
      <c r="H145" s="1" t="s">
        <v>30</v>
      </c>
      <c r="I145" s="1" t="s">
        <v>15</v>
      </c>
      <c r="J145" s="1" t="str">
        <f>_xlfn.XLOOKUP(TRIM(Table1[[#This Row],[Status2]]),Data_profiling!$A$9:$A$14,Data_profiling!$B$9:$B$14,"Checkmanually")</f>
        <v>Active</v>
      </c>
      <c r="K145" s="1" t="s">
        <v>0</v>
      </c>
    </row>
    <row r="146" spans="1:11" x14ac:dyDescent="0.35">
      <c r="A146" s="1" t="s">
        <v>29</v>
      </c>
      <c r="B146" s="1" t="s">
        <v>28</v>
      </c>
      <c r="C146" s="1" t="s">
        <v>5</v>
      </c>
      <c r="D146" s="1" t="s">
        <v>17</v>
      </c>
      <c r="E146" s="1" t="s">
        <v>27</v>
      </c>
      <c r="F146" s="2">
        <v>282.99</v>
      </c>
      <c r="G146" s="2">
        <v>367.25</v>
      </c>
      <c r="H146" s="1" t="s">
        <v>26</v>
      </c>
      <c r="I146" s="1" t="s">
        <v>25</v>
      </c>
      <c r="J146" s="1" t="str">
        <f>_xlfn.XLOOKUP(TRIM(Table1[[#This Row],[Status2]]),Data_profiling!$A$9:$A$14,Data_profiling!$B$9:$B$14,"Checkmanually")</f>
        <v>Active</v>
      </c>
      <c r="K146" s="1" t="s">
        <v>0</v>
      </c>
    </row>
    <row r="147" spans="1:11" x14ac:dyDescent="0.35">
      <c r="A147" s="1" t="s">
        <v>24</v>
      </c>
      <c r="B147" s="1" t="s">
        <v>23</v>
      </c>
      <c r="C147" s="1" t="s">
        <v>5</v>
      </c>
      <c r="D147" s="1" t="s">
        <v>22</v>
      </c>
      <c r="E147" s="1" t="s">
        <v>3</v>
      </c>
      <c r="F147" s="2">
        <v>49.99</v>
      </c>
      <c r="G147" s="2">
        <v>66.400000000000006</v>
      </c>
      <c r="H147" s="1" t="s">
        <v>21</v>
      </c>
      <c r="I147" s="1" t="s">
        <v>20</v>
      </c>
      <c r="J147" s="1" t="str">
        <f>_xlfn.XLOOKUP(TRIM(Table1[[#This Row],[Status2]]),Data_profiling!$A$9:$A$14,Data_profiling!$B$9:$B$14,"Checkmanually")</f>
        <v>Active</v>
      </c>
      <c r="K147" s="1" t="s">
        <v>0</v>
      </c>
    </row>
    <row r="148" spans="1:11" x14ac:dyDescent="0.35">
      <c r="A148" s="1" t="s">
        <v>19</v>
      </c>
      <c r="B148" s="1" t="s">
        <v>18</v>
      </c>
      <c r="C148" s="1" t="s">
        <v>5</v>
      </c>
      <c r="D148" s="1" t="s">
        <v>17</v>
      </c>
      <c r="E148" s="1" t="s">
        <v>9</v>
      </c>
      <c r="F148" s="2">
        <v>50.43</v>
      </c>
      <c r="G148" s="2">
        <v>67.37</v>
      </c>
      <c r="H148" s="1" t="s">
        <v>16</v>
      </c>
      <c r="I148" s="1" t="s">
        <v>15</v>
      </c>
      <c r="J148" s="1" t="str">
        <f>_xlfn.XLOOKUP(TRIM(Table1[[#This Row],[Status2]]),Data_profiling!$A$9:$A$14,Data_profiling!$B$9:$B$14,"Checkmanually")</f>
        <v>Active</v>
      </c>
      <c r="K148" s="1" t="s">
        <v>0</v>
      </c>
    </row>
    <row r="149" spans="1:11" x14ac:dyDescent="0.35">
      <c r="A149" s="1" t="s">
        <v>14</v>
      </c>
      <c r="B149" s="1" t="s">
        <v>13</v>
      </c>
      <c r="C149" s="1" t="s">
        <v>5</v>
      </c>
      <c r="D149" s="1" t="s">
        <v>4</v>
      </c>
      <c r="E149" s="1" t="s">
        <v>3</v>
      </c>
      <c r="F149" s="2">
        <v>83.33</v>
      </c>
      <c r="G149" s="2">
        <v>108.97</v>
      </c>
      <c r="H149" s="1" t="s">
        <v>12</v>
      </c>
      <c r="I149" s="1" t="s">
        <v>1</v>
      </c>
      <c r="J149" s="1" t="str">
        <f>_xlfn.XLOOKUP(TRIM(Table1[[#This Row],[Status2]]),Data_profiling!$A$9:$A$14,Data_profiling!$B$9:$B$14,"Checkmanually")</f>
        <v>Active</v>
      </c>
      <c r="K149" s="1" t="s">
        <v>0</v>
      </c>
    </row>
    <row r="150" spans="1:11" x14ac:dyDescent="0.35">
      <c r="A150" s="1" t="s">
        <v>11</v>
      </c>
      <c r="B150" s="1" t="s">
        <v>10</v>
      </c>
      <c r="C150" s="1" t="s">
        <v>5</v>
      </c>
      <c r="D150" s="1" t="s">
        <v>4</v>
      </c>
      <c r="E150" s="1" t="s">
        <v>9</v>
      </c>
      <c r="F150" s="2">
        <v>124.33</v>
      </c>
      <c r="G150" s="2">
        <v>171.25</v>
      </c>
      <c r="H150" s="1" t="s">
        <v>8</v>
      </c>
      <c r="I150" s="1" t="s">
        <v>1</v>
      </c>
      <c r="J150" s="1" t="str">
        <f>_xlfn.XLOOKUP(TRIM(Table1[[#This Row],[Status2]]),Data_profiling!$A$9:$A$14,Data_profiling!$B$9:$B$14,"Checkmanually")</f>
        <v>Active</v>
      </c>
      <c r="K150" s="1" t="s">
        <v>0</v>
      </c>
    </row>
    <row r="151" spans="1:11" x14ac:dyDescent="0.35">
      <c r="A151" s="1" t="s">
        <v>7</v>
      </c>
      <c r="B151" s="1" t="s">
        <v>6</v>
      </c>
      <c r="C151" s="1" t="s">
        <v>5</v>
      </c>
      <c r="D151" s="1" t="s">
        <v>4</v>
      </c>
      <c r="E151" s="1" t="s">
        <v>3</v>
      </c>
      <c r="F151" s="2">
        <v>158.06</v>
      </c>
      <c r="G151" s="2">
        <v>214.04</v>
      </c>
      <c r="H151" s="1" t="s">
        <v>2</v>
      </c>
      <c r="I151" s="1" t="s">
        <v>1</v>
      </c>
      <c r="J151" s="1" t="str">
        <f>_xlfn.XLOOKUP(TRIM(Table1[[#This Row],[Status2]]),Data_profiling!$A$9:$A$14,Data_profiling!$B$9:$B$14,"Checkmanually")</f>
        <v>Active</v>
      </c>
      <c r="K151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62895-CE92-48DA-A395-9B9682D0B824}">
  <dimension ref="A1:D14"/>
  <sheetViews>
    <sheetView topLeftCell="A4" workbookViewId="0">
      <selection activeCell="A14" sqref="A14"/>
    </sheetView>
  </sheetViews>
  <sheetFormatPr defaultRowHeight="14.5" x14ac:dyDescent="0.35"/>
  <cols>
    <col min="1" max="1" width="21.26953125" customWidth="1"/>
    <col min="2" max="2" width="15.1796875" customWidth="1"/>
    <col min="3" max="3" width="19.1796875" customWidth="1"/>
    <col min="4" max="4" width="21.90625" customWidth="1"/>
  </cols>
  <sheetData>
    <row r="1" spans="1:4" x14ac:dyDescent="0.35">
      <c r="A1" s="4" t="s">
        <v>482</v>
      </c>
      <c r="B1" s="4" t="s">
        <v>483</v>
      </c>
      <c r="C1" s="4" t="s">
        <v>484</v>
      </c>
      <c r="D1" s="4" t="s">
        <v>485</v>
      </c>
    </row>
    <row r="2" spans="1:4" x14ac:dyDescent="0.35">
      <c r="A2" t="s">
        <v>477</v>
      </c>
      <c r="B2" t="s">
        <v>486</v>
      </c>
      <c r="C2">
        <v>5</v>
      </c>
      <c r="D2" t="s">
        <v>487</v>
      </c>
    </row>
    <row r="3" spans="1:4" x14ac:dyDescent="0.35">
      <c r="A3" t="s">
        <v>473</v>
      </c>
      <c r="B3" t="s">
        <v>486</v>
      </c>
      <c r="C3">
        <v>5</v>
      </c>
      <c r="D3" t="s">
        <v>487</v>
      </c>
    </row>
    <row r="4" spans="1:4" x14ac:dyDescent="0.35">
      <c r="A4" t="s">
        <v>472</v>
      </c>
      <c r="B4" t="s">
        <v>488</v>
      </c>
      <c r="D4" t="s">
        <v>489</v>
      </c>
    </row>
    <row r="9" spans="1:4" x14ac:dyDescent="0.35">
      <c r="A9" t="s">
        <v>458</v>
      </c>
      <c r="B9" t="s">
        <v>0</v>
      </c>
    </row>
    <row r="10" spans="1:4" x14ac:dyDescent="0.35">
      <c r="A10" t="s">
        <v>0</v>
      </c>
      <c r="B10" t="s">
        <v>0</v>
      </c>
    </row>
    <row r="11" spans="1:4" x14ac:dyDescent="0.35">
      <c r="A11" t="s">
        <v>429</v>
      </c>
      <c r="B11" t="s">
        <v>0</v>
      </c>
    </row>
    <row r="12" spans="1:4" x14ac:dyDescent="0.35">
      <c r="A12" s="6" t="s">
        <v>490</v>
      </c>
      <c r="B12" s="6" t="s">
        <v>490</v>
      </c>
    </row>
    <row r="13" spans="1:4" x14ac:dyDescent="0.35">
      <c r="A13" s="6" t="s">
        <v>242</v>
      </c>
      <c r="B13" s="6" t="s">
        <v>490</v>
      </c>
    </row>
    <row r="14" spans="1:4" x14ac:dyDescent="0.35">
      <c r="A14" s="6" t="s">
        <v>491</v>
      </c>
      <c r="B14" s="6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Data_profiling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Rithiha U</cp:lastModifiedBy>
  <dcterms:created xsi:type="dcterms:W3CDTF">2026-07-31T06:44:25Z</dcterms:created>
  <dcterms:modified xsi:type="dcterms:W3CDTF">2026-08-04T19:16:00Z</dcterms:modified>
</cp:coreProperties>
</file>